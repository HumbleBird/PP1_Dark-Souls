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mc:AlternateContent xmlns:mc="http://schemas.openxmlformats.org/markup-compatibility/2006">
    <mc:Choice Requires="x15">
      <x15ac:absPath xmlns:x15ac="http://schemas.microsoft.com/office/spreadsheetml/2010/11/ac" url="D:\LeeTaeSeop\Coding\Unity\PortPolio\PP1_Dark Souls\Document\"/>
    </mc:Choice>
  </mc:AlternateContent>
  <xr:revisionPtr revIDLastSave="0" documentId="13_ncr:1_{BE23B386-2FEB-45B9-B55C-A56F7EE77ED0}" xr6:coauthVersionLast="47" xr6:coauthVersionMax="47" xr10:uidLastSave="{00000000-0000-0000-0000-000000000000}"/>
  <bookViews>
    <workbookView xWindow="-120" yWindow="-120" windowWidth="29040" windowHeight="15840" tabRatio="999" activeTab="9" xr2:uid="{00000000-000D-0000-FFFF-FFFF00000000}"/>
  </bookViews>
  <sheets>
    <sheet name="StartClassStat" sheetId="8" r:id="rId1"/>
    <sheet name="Camera_Shake" sheetId="1" r:id="rId2"/>
    <sheet name="Camera_Zoom" sheetId="25" r:id="rId3"/>
    <sheet name="Monster" sheetId="15" r:id="rId4"/>
    <sheet name="Stat" sheetId="9" r:id="rId5"/>
    <sheet name="Reward" sheetId="20" r:id="rId6"/>
    <sheet name="Weapon" sheetId="16" r:id="rId7"/>
    <sheet name="Spell" sheetId="30" r:id="rId8"/>
    <sheet name="Armor" sheetId="18" r:id="rId9"/>
    <sheet name="ToolItem" sheetId="6" r:id="rId10"/>
    <sheet name="Ring" sheetId="31"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18" l="1"/>
  <c r="C5" i="18"/>
  <c r="C6" i="18"/>
  <c r="C7" i="18"/>
  <c r="C8" i="18"/>
  <c r="C9" i="18"/>
  <c r="C10" i="18"/>
  <c r="C11" i="18"/>
  <c r="C12" i="18"/>
  <c r="C13" i="18"/>
  <c r="C14" i="18"/>
  <c r="C15" i="18"/>
  <c r="C16" i="18"/>
  <c r="C17" i="18"/>
  <c r="C18" i="18"/>
  <c r="C19" i="18"/>
  <c r="C20" i="18"/>
  <c r="C21" i="18"/>
  <c r="C22" i="18"/>
  <c r="C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E1" authorId="0" shapeId="0" xr:uid="{31A3CD10-F382-4E14-9621-A88DEDFA9C12}">
      <text>
        <r>
          <rPr>
            <b/>
            <sz val="9"/>
            <color indexed="81"/>
            <rFont val="돋움"/>
            <family val="3"/>
            <charset val="129"/>
          </rPr>
          <t xml:space="preserve">1. Daggers
2. Straight SwordsGreatswords
3. Ultra Greatswords
4. Curved Swordsuchigatana-icon.png
5. Katanas
6. Curved Greatswords
7. Piercing Swords
8. Axes
9. Greataxes
10. Hammers
11. Great Hammers
12. Fist &amp; Claws
13. Spears &amp; Pikes
14. Halberds
15. Reapers
16. Whips
17. Bows
18. Greatbows
19. Crossbows
20. Staves
21. Flames
22. Talismans
24. Sacred Chimes
25. Shield (TODO)
</t>
        </r>
      </text>
    </comment>
    <comment ref="I1" authorId="0" shapeId="0" xr:uid="{69851E24-F28F-409E-A8E5-858519499A61}">
      <text>
        <r>
          <rPr>
            <b/>
            <sz val="9"/>
            <color indexed="81"/>
            <rFont val="돋움"/>
            <family val="3"/>
            <charset val="129"/>
          </rPr>
          <t>이태섭</t>
        </r>
        <r>
          <rPr>
            <b/>
            <sz val="9"/>
            <color indexed="81"/>
            <rFont val="Tahoma"/>
            <family val="2"/>
          </rPr>
          <t>:</t>
        </r>
        <r>
          <rPr>
            <sz val="9"/>
            <color indexed="81"/>
            <rFont val="Tahoma"/>
            <family val="2"/>
          </rPr>
          <t xml:space="preserve">
</t>
        </r>
        <r>
          <rPr>
            <sz val="9"/>
            <color indexed="81"/>
            <rFont val="돋움"/>
            <family val="3"/>
            <charset val="129"/>
          </rPr>
          <t>필요</t>
        </r>
        <r>
          <rPr>
            <sz val="9"/>
            <color indexed="81"/>
            <rFont val="Tahoma"/>
            <family val="2"/>
          </rPr>
          <t xml:space="preserve"> </t>
        </r>
        <r>
          <rPr>
            <sz val="9"/>
            <color indexed="81"/>
            <rFont val="돋움"/>
            <family val="3"/>
            <charset val="129"/>
          </rPr>
          <t>능력치는</t>
        </r>
        <r>
          <rPr>
            <sz val="9"/>
            <color indexed="81"/>
            <rFont val="Tahoma"/>
            <family val="2"/>
          </rPr>
          <t xml:space="preserve"> </t>
        </r>
        <r>
          <rPr>
            <sz val="9"/>
            <color indexed="81"/>
            <rFont val="돋움"/>
            <family val="3"/>
            <charset val="129"/>
          </rPr>
          <t xml:space="preserve">숫자
</t>
        </r>
      </text>
    </comment>
    <comment ref="M1" authorId="0" shapeId="0" xr:uid="{173D5019-A7AB-4AFE-BFB1-8CB820F7DD02}">
      <text>
        <r>
          <rPr>
            <b/>
            <sz val="9"/>
            <color indexed="81"/>
            <rFont val="돋움"/>
            <family val="3"/>
            <charset val="129"/>
          </rPr>
          <t>이태섭</t>
        </r>
        <r>
          <rPr>
            <b/>
            <sz val="9"/>
            <color indexed="81"/>
            <rFont val="Tahoma"/>
            <family val="2"/>
          </rPr>
          <t>:</t>
        </r>
        <r>
          <rPr>
            <sz val="9"/>
            <color indexed="81"/>
            <rFont val="Tahoma"/>
            <family val="2"/>
          </rPr>
          <t xml:space="preserve">
</t>
        </r>
        <r>
          <rPr>
            <sz val="9"/>
            <color indexed="81"/>
            <rFont val="돋움"/>
            <family val="3"/>
            <charset val="129"/>
          </rPr>
          <t>능력</t>
        </r>
        <r>
          <rPr>
            <sz val="9"/>
            <color indexed="81"/>
            <rFont val="Tahoma"/>
            <family val="2"/>
          </rPr>
          <t xml:space="preserve"> </t>
        </r>
        <r>
          <rPr>
            <sz val="9"/>
            <color indexed="81"/>
            <rFont val="돋움"/>
            <family val="3"/>
            <charset val="129"/>
          </rPr>
          <t>보정은</t>
        </r>
        <r>
          <rPr>
            <sz val="9"/>
            <color indexed="81"/>
            <rFont val="Tahoma"/>
            <family val="2"/>
          </rPr>
          <t xml:space="preserve"> </t>
        </r>
        <r>
          <rPr>
            <sz val="9"/>
            <color indexed="81"/>
            <rFont val="돋움"/>
            <family val="3"/>
            <charset val="129"/>
          </rPr>
          <t xml:space="preserve">영어
</t>
        </r>
        <r>
          <rPr>
            <sz val="9"/>
            <color indexed="81"/>
            <rFont val="Tahoma"/>
            <family val="2"/>
          </rPr>
          <t>0</t>
        </r>
        <r>
          <rPr>
            <sz val="9"/>
            <color indexed="81"/>
            <rFont val="돋움"/>
            <family val="3"/>
            <charset val="129"/>
          </rPr>
          <t>은</t>
        </r>
        <r>
          <rPr>
            <sz val="9"/>
            <color indexed="81"/>
            <rFont val="Tahoma"/>
            <family val="2"/>
          </rPr>
          <t xml:space="preserve"> </t>
        </r>
        <r>
          <rPr>
            <sz val="9"/>
            <color indexed="81"/>
            <rFont val="돋움"/>
            <family val="3"/>
            <charset val="129"/>
          </rPr>
          <t xml:space="preserve">없음
</t>
        </r>
        <r>
          <rPr>
            <sz val="9"/>
            <color indexed="81"/>
            <rFont val="Tahoma"/>
            <family val="2"/>
          </rPr>
          <t>F = 1, 
E = 2,
 D = 3, 
C = 4, 
B = 5, 
A = 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E1" authorId="0" shapeId="0" xr:uid="{530CA9B9-C826-4582-80BB-6CDE10A3B2F4}">
      <text>
        <r>
          <rPr>
            <b/>
            <sz val="9"/>
            <color indexed="81"/>
            <rFont val="돋움"/>
            <family val="3"/>
            <charset val="129"/>
          </rPr>
          <t>이태섭</t>
        </r>
        <r>
          <rPr>
            <b/>
            <sz val="9"/>
            <color indexed="81"/>
            <rFont val="Tahoma"/>
            <family val="2"/>
          </rPr>
          <t>:</t>
        </r>
        <r>
          <rPr>
            <sz val="9"/>
            <color indexed="81"/>
            <rFont val="Tahoma"/>
            <family val="2"/>
          </rPr>
          <t xml:space="preserve">
        Sorcerie = 1,
        Miracle = 2,
        Pyromancie = 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D1" authorId="0" shapeId="0" xr:uid="{36F77077-DFC9-44AA-B027-B813F9FE2D44}">
      <text>
        <r>
          <rPr>
            <b/>
            <sz val="9"/>
            <color indexed="81"/>
            <rFont val="돋움"/>
            <family val="3"/>
            <charset val="129"/>
          </rPr>
          <t>이태섭</t>
        </r>
        <r>
          <rPr>
            <b/>
            <sz val="9"/>
            <color indexed="81"/>
            <rFont val="Tahoma"/>
            <family val="2"/>
          </rPr>
          <t>:</t>
        </r>
        <r>
          <rPr>
            <sz val="9"/>
            <color indexed="81"/>
            <rFont val="Tahoma"/>
            <family val="2"/>
          </rPr>
          <t xml:space="preserve">
Helmet = 1,
Armor = 2,
Pant = 3,
Gloves = 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E1" authorId="0" shapeId="0" xr:uid="{2F370AC6-5D59-4CD1-869E-094558CEE2D4}">
      <text>
        <r>
          <rPr>
            <b/>
            <sz val="9"/>
            <color indexed="81"/>
            <rFont val="돋움"/>
            <family val="3"/>
            <charset val="129"/>
          </rPr>
          <t>이태섭</t>
        </r>
        <r>
          <rPr>
            <b/>
            <sz val="9"/>
            <color indexed="81"/>
            <rFont val="Tahoma"/>
            <family val="2"/>
          </rPr>
          <t>:</t>
        </r>
        <r>
          <rPr>
            <sz val="9"/>
            <color indexed="81"/>
            <rFont val="Tahoma"/>
            <family val="2"/>
          </rPr>
          <t xml:space="preserve">
        KeyItems = 1,
        MultiplayerItmes = 2,
        Consumables = 3,
        Tools = 4,
        Projectiles = 5,
        Ammunition = 6,
        Souls = 7,
        BossSouls = 8,
        Ore = 9,
        Ashes = 10,</t>
        </r>
      </text>
    </comment>
    <comment ref="F2" authorId="0" shapeId="0" xr:uid="{347ACF39-6D2C-453A-BB68-E07C5F26784F}">
      <text>
        <r>
          <rPr>
            <b/>
            <sz val="9"/>
            <color indexed="81"/>
            <rFont val="돋움"/>
            <family val="3"/>
            <charset val="129"/>
          </rPr>
          <t>이태섭</t>
        </r>
        <r>
          <rPr>
            <b/>
            <sz val="9"/>
            <color indexed="81"/>
            <rFont val="Tahoma"/>
            <family val="2"/>
          </rPr>
          <t>:</t>
        </r>
        <r>
          <rPr>
            <sz val="9"/>
            <color indexed="81"/>
            <rFont val="Tahoma"/>
            <family val="2"/>
          </rPr>
          <t xml:space="preserve">
0 </t>
        </r>
        <r>
          <rPr>
            <sz val="9"/>
            <color indexed="81"/>
            <rFont val="돋움"/>
            <family val="3"/>
            <charset val="129"/>
          </rPr>
          <t xml:space="preserve">무제한
</t>
        </r>
        <r>
          <rPr>
            <sz val="9"/>
            <color indexed="81"/>
            <rFont val="Tahoma"/>
            <family val="2"/>
          </rPr>
          <t xml:space="preserve">1 </t>
        </r>
        <r>
          <rPr>
            <sz val="9"/>
            <color indexed="81"/>
            <rFont val="돋움"/>
            <family val="3"/>
            <charset val="129"/>
          </rPr>
          <t xml:space="preserve">소비
</t>
        </r>
      </text>
    </comment>
  </commentList>
</comments>
</file>

<file path=xl/sharedStrings.xml><?xml version="1.0" encoding="utf-8"?>
<sst xmlns="http://schemas.openxmlformats.org/spreadsheetml/2006/main" count="406" uniqueCount="362">
  <si>
    <t>Camera_Id</t>
    <phoneticPr fontId="1" type="noConversion"/>
  </si>
  <si>
    <t>Delay</t>
    <phoneticPr fontId="1" type="noConversion"/>
  </si>
  <si>
    <t>Shake_Time</t>
    <phoneticPr fontId="1" type="noConversion"/>
  </si>
  <si>
    <t>Shake_X</t>
    <phoneticPr fontId="1" type="noConversion"/>
  </si>
  <si>
    <t>Shake_Y</t>
    <phoneticPr fontId="1" type="noConversion"/>
  </si>
  <si>
    <t>Shake_Spd</t>
    <phoneticPr fontId="1" type="noConversion"/>
  </si>
  <si>
    <t>Damping</t>
    <phoneticPr fontId="1" type="noConversion"/>
  </si>
  <si>
    <t>카메라 Id</t>
    <phoneticPr fontId="1" type="noConversion"/>
  </si>
  <si>
    <t>시작딜레이</t>
    <phoneticPr fontId="1" type="noConversion"/>
  </si>
  <si>
    <t>쉐이크시간</t>
    <phoneticPr fontId="1" type="noConversion"/>
  </si>
  <si>
    <t>Max_Shake_Count</t>
    <phoneticPr fontId="1" type="noConversion"/>
  </si>
  <si>
    <t>쉐이크감도_X</t>
    <phoneticPr fontId="1" type="noConversion"/>
  </si>
  <si>
    <t>쉐이크감도_Y</t>
    <phoneticPr fontId="1" type="noConversion"/>
  </si>
  <si>
    <t>쉐이크속도</t>
    <phoneticPr fontId="1" type="noConversion"/>
  </si>
  <si>
    <t>감쇄값</t>
    <phoneticPr fontId="1" type="noConversion"/>
  </si>
  <si>
    <t>최대쉐이크수</t>
    <phoneticPr fontId="1" type="noConversion"/>
  </si>
  <si>
    <t>아이디</t>
    <phoneticPr fontId="1" type="noConversion"/>
  </si>
  <si>
    <t>Idx</t>
    <phoneticPr fontId="1" type="noConversion"/>
  </si>
  <si>
    <t>이름</t>
    <phoneticPr fontId="1" type="noConversion"/>
  </si>
  <si>
    <t>#Prefab_Path</t>
    <phoneticPr fontId="1" type="noConversion"/>
  </si>
  <si>
    <t>프리팹</t>
    <phoneticPr fontId="1" type="noConversion"/>
  </si>
  <si>
    <t>체력</t>
    <phoneticPr fontId="1" type="noConversion"/>
  </si>
  <si>
    <t>Hp</t>
    <phoneticPr fontId="1" type="noConversion"/>
  </si>
  <si>
    <t>Name</t>
    <phoneticPr fontId="1" type="noConversion"/>
  </si>
  <si>
    <t>Idx</t>
  </si>
  <si>
    <t>Name</t>
  </si>
  <si>
    <t>아이디</t>
  </si>
  <si>
    <t>무기 타입</t>
    <phoneticPr fontId="1" type="noConversion"/>
  </si>
  <si>
    <t>이름</t>
  </si>
  <si>
    <t>장착부위</t>
  </si>
  <si>
    <t>Probability</t>
    <phoneticPr fontId="1" type="noConversion"/>
  </si>
  <si>
    <t>ItemId</t>
    <phoneticPr fontId="1" type="noConversion"/>
  </si>
  <si>
    <t>count</t>
    <phoneticPr fontId="1" type="noConversion"/>
  </si>
  <si>
    <t>확률</t>
    <phoneticPr fontId="1" type="noConversion"/>
  </si>
  <si>
    <t>아이템 아이디</t>
    <phoneticPr fontId="1" type="noConversion"/>
  </si>
  <si>
    <t>개수</t>
    <phoneticPr fontId="1" type="noConversion"/>
  </si>
  <si>
    <t>Skeleton Warior</t>
    <phoneticPr fontId="1" type="noConversion"/>
  </si>
  <si>
    <t>Skeleton Knight</t>
    <phoneticPr fontId="1" type="noConversion"/>
  </si>
  <si>
    <t>Skeleton Archer</t>
    <phoneticPr fontId="1" type="noConversion"/>
  </si>
  <si>
    <t>Monster/Normal/SkeletonKnight</t>
    <phoneticPr fontId="1" type="noConversion"/>
  </si>
  <si>
    <t>Monster/Normal/SkeletonArcher</t>
    <phoneticPr fontId="1" type="noConversion"/>
  </si>
  <si>
    <t>Monster/Normal/SkeletonWarior</t>
    <phoneticPr fontId="1" type="noConversion"/>
  </si>
  <si>
    <t>Estus Flask</t>
  </si>
  <si>
    <t>ArmorType</t>
    <phoneticPr fontId="1" type="noConversion"/>
  </si>
  <si>
    <t>Dest</t>
    <phoneticPr fontId="1" type="noConversion"/>
  </si>
  <si>
    <t>줌 거리</t>
    <phoneticPr fontId="1" type="noConversion"/>
  </si>
  <si>
    <t>BlendInTime</t>
    <phoneticPr fontId="1" type="noConversion"/>
  </si>
  <si>
    <t>Duration</t>
    <phoneticPr fontId="1" type="noConversion"/>
  </si>
  <si>
    <t>줌 유지 기간</t>
    <phoneticPr fontId="1" type="noConversion"/>
  </si>
  <si>
    <t>BlendOutTime</t>
    <phoneticPr fontId="1" type="noConversion"/>
  </si>
  <si>
    <t>블렌드 인 시간</t>
    <phoneticPr fontId="1" type="noConversion"/>
  </si>
  <si>
    <t>블렌드 아웃 시간</t>
    <phoneticPr fontId="1" type="noConversion"/>
  </si>
  <si>
    <t>Attunement</t>
  </si>
  <si>
    <t>오른손 무기2</t>
  </si>
  <si>
    <t>오른손 무기3</t>
  </si>
  <si>
    <t>Endurance</t>
  </si>
  <si>
    <t>Vitality</t>
  </si>
  <si>
    <t>Strength</t>
    <phoneticPr fontId="1" type="noConversion"/>
  </si>
  <si>
    <t>Dexterity</t>
    <phoneticPr fontId="1" type="noConversion"/>
  </si>
  <si>
    <t>Intelligence</t>
    <phoneticPr fontId="1" type="noConversion"/>
  </si>
  <si>
    <t>Faith</t>
    <phoneticPr fontId="1" type="noConversion"/>
  </si>
  <si>
    <t>LeftHand2</t>
  </si>
  <si>
    <t>LeftHand3</t>
  </si>
  <si>
    <t>RightHand2</t>
  </si>
  <si>
    <t>RightHand3</t>
  </si>
  <si>
    <t>Fire Buff Item</t>
  </si>
  <si>
    <t>Firebomb</t>
  </si>
  <si>
    <t>PuppleMossClump</t>
  </si>
  <si>
    <t>아이템 효과</t>
    <phoneticPr fontId="1" type="noConversion"/>
  </si>
  <si>
    <t>능력 보정 - 근력</t>
    <phoneticPr fontId="1" type="noConversion"/>
  </si>
  <si>
    <t>능력 보정 - 기량</t>
    <phoneticPr fontId="1" type="noConversion"/>
  </si>
  <si>
    <t>능력 보정 - 지성</t>
    <phoneticPr fontId="1" type="noConversion"/>
  </si>
  <si>
    <t>능력 보정 - 신앙</t>
    <phoneticPr fontId="1" type="noConversion"/>
  </si>
  <si>
    <t>무제한/소비</t>
    <phoneticPr fontId="1" type="noConversion"/>
  </si>
  <si>
    <t>최대 소지수</t>
    <phoneticPr fontId="1" type="noConversion"/>
  </si>
  <si>
    <t>최대 처장수</t>
    <phoneticPr fontId="1" type="noConversion"/>
  </si>
  <si>
    <t>isLimitied</t>
    <phoneticPr fontId="1" type="noConversion"/>
  </si>
  <si>
    <t>MaxSaveCount</t>
    <phoneticPr fontId="1" type="noConversion"/>
  </si>
  <si>
    <t>MaxCurrentCount</t>
    <phoneticPr fontId="1" type="noConversion"/>
  </si>
  <si>
    <t>ItemEffectDescription</t>
    <phoneticPr fontId="1" type="noConversion"/>
  </si>
  <si>
    <t>icon</t>
    <phoneticPr fontId="1" type="noConversion"/>
  </si>
  <si>
    <t>prefab</t>
    <phoneticPr fontId="1" type="noConversion"/>
  </si>
  <si>
    <t>프리팹</t>
    <phoneticPr fontId="1" type="noConversion"/>
  </si>
  <si>
    <t>아이콘</t>
    <phoneticPr fontId="1" type="noConversion"/>
  </si>
  <si>
    <t>Medicinal purple moss clump. Reduces poison build-up. Cures poison.</t>
    <phoneticPr fontId="1" type="noConversion"/>
  </si>
  <si>
    <t>Medicinal pellet made from crushed insects. The red type temporarily boosts fire damage absorption.</t>
    <phoneticPr fontId="1" type="noConversion"/>
  </si>
  <si>
    <t>Throw at enemies to deal fire damage.</t>
    <phoneticPr fontId="1" type="noConversion"/>
  </si>
  <si>
    <t>Stat</t>
    <phoneticPr fontId="1" type="noConversion"/>
  </si>
  <si>
    <t>스텟 아이디</t>
    <phoneticPr fontId="1" type="noConversion"/>
  </si>
  <si>
    <t>Name</t>
    <phoneticPr fontId="1" type="noConversion"/>
  </si>
  <si>
    <t>이름</t>
    <phoneticPr fontId="1" type="noConversion"/>
  </si>
  <si>
    <t>Skeleton Warrior [Humanoid A.I - Sword &amp; Shield]</t>
    <phoneticPr fontId="1" type="noConversion"/>
  </si>
  <si>
    <t>Skeleton Warrior [Simple A.I]</t>
    <phoneticPr fontId="1" type="noConversion"/>
  </si>
  <si>
    <t>Skeleton Warrior [Humanoid A.I - Archer]</t>
    <phoneticPr fontId="1" type="noConversion"/>
  </si>
  <si>
    <t>Skeleton Warrior king</t>
  </si>
  <si>
    <t>Souls</t>
    <phoneticPr fontId="1" type="noConversion"/>
  </si>
  <si>
    <t>보상 소울</t>
    <phoneticPr fontId="1" type="noConversion"/>
  </si>
  <si>
    <t>Weak</t>
    <phoneticPr fontId="1" type="noConversion"/>
  </si>
  <si>
    <t>Resistant</t>
    <phoneticPr fontId="1" type="noConversion"/>
  </si>
  <si>
    <t>Immune</t>
  </si>
  <si>
    <t>보상 아이템</t>
    <phoneticPr fontId="1" type="noConversion"/>
  </si>
  <si>
    <t>약점</t>
    <phoneticPr fontId="1" type="noConversion"/>
  </si>
  <si>
    <t>저항률</t>
    <phoneticPr fontId="1" type="noConversion"/>
  </si>
  <si>
    <t>면역</t>
    <phoneticPr fontId="1" type="noConversion"/>
  </si>
  <si>
    <t>Rewards</t>
    <phoneticPr fontId="1" type="noConversion"/>
  </si>
  <si>
    <t>Broad sword</t>
    <phoneticPr fontId="1" type="noConversion"/>
  </si>
  <si>
    <t>Phyromancy Flame</t>
    <phoneticPr fontId="1" type="noConversion"/>
  </si>
  <si>
    <t>Talisman</t>
    <phoneticPr fontId="1" type="noConversion"/>
  </si>
  <si>
    <t>Short Bow</t>
    <phoneticPr fontId="1" type="noConversion"/>
  </si>
  <si>
    <t>Attack_Type</t>
    <phoneticPr fontId="1" type="noConversion"/>
  </si>
  <si>
    <t>Weapon_Type</t>
    <phoneticPr fontId="1" type="noConversion"/>
  </si>
  <si>
    <t>Skill</t>
    <phoneticPr fontId="1" type="noConversion"/>
  </si>
  <si>
    <t>Cost_FP</t>
    <phoneticPr fontId="1" type="noConversion"/>
  </si>
  <si>
    <t>Attack_Physical</t>
    <phoneticPr fontId="1" type="noConversion"/>
  </si>
  <si>
    <t>Attack_Magic</t>
    <phoneticPr fontId="1" type="noConversion"/>
  </si>
  <si>
    <t>Attack_Fire</t>
    <phoneticPr fontId="1" type="noConversion"/>
  </si>
  <si>
    <t>Attack_Lightning</t>
    <phoneticPr fontId="1" type="noConversion"/>
  </si>
  <si>
    <t>Attack_Dark</t>
    <phoneticPr fontId="1" type="noConversion"/>
  </si>
  <si>
    <t>Attack_Critical</t>
    <phoneticPr fontId="1" type="noConversion"/>
  </si>
  <si>
    <t>Attack_Spell_Buff</t>
    <phoneticPr fontId="1" type="noConversion"/>
  </si>
  <si>
    <t>Attack_Range</t>
    <phoneticPr fontId="1" type="noConversion"/>
  </si>
  <si>
    <t>Damage_Reduction_Physical</t>
    <phoneticPr fontId="1" type="noConversion"/>
  </si>
  <si>
    <t>Damage_Reduction_Magic</t>
    <phoneticPr fontId="1" type="noConversion"/>
  </si>
  <si>
    <t>Damage_Reduction_Fire</t>
    <phoneticPr fontId="1" type="noConversion"/>
  </si>
  <si>
    <t>Damage_Reduction_Lightning</t>
    <phoneticPr fontId="1" type="noConversion"/>
  </si>
  <si>
    <t>Damage_Reduction_Dark</t>
    <phoneticPr fontId="1" type="noConversion"/>
  </si>
  <si>
    <t>Auxiliary_Effects_Bleeding</t>
    <phoneticPr fontId="1" type="noConversion"/>
  </si>
  <si>
    <t>Auxiliary_Effects_Posion</t>
    <phoneticPr fontId="1" type="noConversion"/>
  </si>
  <si>
    <t>Auxiliary_Effects_Frost</t>
    <phoneticPr fontId="1" type="noConversion"/>
  </si>
  <si>
    <t>Auxiliary_Effects_Curse</t>
    <phoneticPr fontId="1" type="noConversion"/>
  </si>
  <si>
    <t>Durability</t>
    <phoneticPr fontId="1" type="noConversion"/>
  </si>
  <si>
    <t>Weight</t>
    <phoneticPr fontId="1" type="noConversion"/>
  </si>
  <si>
    <t>Requirement_Strength</t>
    <phoneticPr fontId="1" type="noConversion"/>
  </si>
  <si>
    <t>Requirement_Dexterity</t>
    <phoneticPr fontId="1" type="noConversion"/>
  </si>
  <si>
    <t>Requirement_Intelligence</t>
    <phoneticPr fontId="1" type="noConversion"/>
  </si>
  <si>
    <t>Requirement_Faith</t>
    <phoneticPr fontId="1" type="noConversion"/>
  </si>
  <si>
    <t>Parameter_Bonus_Strength</t>
    <phoneticPr fontId="1" type="noConversion"/>
  </si>
  <si>
    <t>Parameter_Bonus_Dexterity</t>
    <phoneticPr fontId="1" type="noConversion"/>
  </si>
  <si>
    <t>Parameter_Bonus_Intelligence</t>
    <phoneticPr fontId="1" type="noConversion"/>
  </si>
  <si>
    <t>Parameter_Bonus_Faith</t>
    <phoneticPr fontId="1" type="noConversion"/>
  </si>
  <si>
    <t>공격 타입</t>
    <phoneticPr fontId="1" type="noConversion"/>
  </si>
  <si>
    <t>스킬</t>
    <phoneticPr fontId="1" type="noConversion"/>
  </si>
  <si>
    <t>소모 FP</t>
    <phoneticPr fontId="1" type="noConversion"/>
  </si>
  <si>
    <t>필요 능력치_힘</t>
    <phoneticPr fontId="1" type="noConversion"/>
  </si>
  <si>
    <t>필요 능력치 손재주</t>
    <phoneticPr fontId="1" type="noConversion"/>
  </si>
  <si>
    <t>필요 능력치 _ 지능</t>
    <phoneticPr fontId="1" type="noConversion"/>
  </si>
  <si>
    <t>필요 능력치 신앙</t>
    <phoneticPr fontId="1" type="noConversion"/>
  </si>
  <si>
    <t>능력 보정 - 힘</t>
    <phoneticPr fontId="1" type="noConversion"/>
  </si>
  <si>
    <t>능력 보정 - 손재주</t>
    <phoneticPr fontId="1" type="noConversion"/>
  </si>
  <si>
    <t>능력 보정 - 지능</t>
    <phoneticPr fontId="1" type="noConversion"/>
  </si>
  <si>
    <t>능력 보정 - 신앙</t>
    <phoneticPr fontId="1" type="noConversion"/>
  </si>
  <si>
    <t>공격력 - 물리</t>
    <phoneticPr fontId="1" type="noConversion"/>
  </si>
  <si>
    <t>공격력 - 마법</t>
    <phoneticPr fontId="1" type="noConversion"/>
  </si>
  <si>
    <t>공격력 - 불</t>
    <phoneticPr fontId="1" type="noConversion"/>
  </si>
  <si>
    <t>공격력 - 번개</t>
    <phoneticPr fontId="1" type="noConversion"/>
  </si>
  <si>
    <t>공격력 - 어둠</t>
    <phoneticPr fontId="1" type="noConversion"/>
  </si>
  <si>
    <t>공격력 - 크리티컬</t>
    <phoneticPr fontId="1" type="noConversion"/>
  </si>
  <si>
    <t>스펠 전용 버프</t>
    <phoneticPr fontId="1" type="noConversion"/>
  </si>
  <si>
    <t>원거리 공격 범위</t>
    <phoneticPr fontId="1" type="noConversion"/>
  </si>
  <si>
    <t>데미지 경감 - 물리</t>
    <phoneticPr fontId="1" type="noConversion"/>
  </si>
  <si>
    <t>데미지 경감 - 마법</t>
    <phoneticPr fontId="1" type="noConversion"/>
  </si>
  <si>
    <t>데미지 경감 - 불</t>
    <phoneticPr fontId="1" type="noConversion"/>
  </si>
  <si>
    <t>데미지 경감 - 번개</t>
    <phoneticPr fontId="1" type="noConversion"/>
  </si>
  <si>
    <t>데미지 경감 - 어둠</t>
    <phoneticPr fontId="1" type="noConversion"/>
  </si>
  <si>
    <t>Stability</t>
    <phoneticPr fontId="1" type="noConversion"/>
  </si>
  <si>
    <t>안정성</t>
    <phoneticPr fontId="1" type="noConversion"/>
  </si>
  <si>
    <t>특수효과 - 출혈</t>
    <phoneticPr fontId="1" type="noConversion"/>
  </si>
  <si>
    <t>특수효과 - 독</t>
    <phoneticPr fontId="1" type="noConversion"/>
  </si>
  <si>
    <t>특수효과 - 냉기</t>
    <phoneticPr fontId="1" type="noConversion"/>
  </si>
  <si>
    <t>특수효과 - 저주</t>
    <phoneticPr fontId="1" type="noConversion"/>
  </si>
  <si>
    <t>내구도</t>
    <phoneticPr fontId="1" type="noConversion"/>
  </si>
  <si>
    <t>무게</t>
    <phoneticPr fontId="1" type="noConversion"/>
  </si>
  <si>
    <t>Standard</t>
    <phoneticPr fontId="1" type="noConversion"/>
  </si>
  <si>
    <t>Stance</t>
    <phoneticPr fontId="1" type="noConversion"/>
  </si>
  <si>
    <t>Strike</t>
    <phoneticPr fontId="1" type="noConversion"/>
  </si>
  <si>
    <t>Combustion</t>
    <phoneticPr fontId="1" type="noConversion"/>
  </si>
  <si>
    <t>Strike/Thrust</t>
  </si>
  <si>
    <t>Unfaltering Prayer</t>
  </si>
  <si>
    <t>None</t>
    <phoneticPr fontId="1" type="noConversion"/>
  </si>
  <si>
    <t>Rapid Fire</t>
    <phoneticPr fontId="1" type="noConversion"/>
  </si>
  <si>
    <t>Spell_Type</t>
    <phoneticPr fontId="1" type="noConversion"/>
  </si>
  <si>
    <t>Cost_FP</t>
    <phoneticPr fontId="1" type="noConversion"/>
  </si>
  <si>
    <t>Slots</t>
    <phoneticPr fontId="1" type="noConversion"/>
  </si>
  <si>
    <t>Requirment_Faith</t>
    <phoneticPr fontId="1" type="noConversion"/>
  </si>
  <si>
    <t>Requirment_Intelligence</t>
    <phoneticPr fontId="1" type="noConversion"/>
  </si>
  <si>
    <t>Item_Decription</t>
    <phoneticPr fontId="1" type="noConversion"/>
  </si>
  <si>
    <t>스펠 타입</t>
    <phoneticPr fontId="1" type="noConversion"/>
  </si>
  <si>
    <t>소비 FP</t>
    <phoneticPr fontId="1" type="noConversion"/>
  </si>
  <si>
    <t>사용 슬롯</t>
    <phoneticPr fontId="1" type="noConversion"/>
  </si>
  <si>
    <t>필요 능력치 - 지능</t>
    <phoneticPr fontId="1" type="noConversion"/>
  </si>
  <si>
    <t>필요 능력치 - 신앙</t>
    <phoneticPr fontId="1" type="noConversion"/>
  </si>
  <si>
    <t>Heal</t>
    <phoneticPr fontId="1" type="noConversion"/>
  </si>
  <si>
    <t>Parry</t>
    <phoneticPr fontId="1" type="noConversion"/>
  </si>
  <si>
    <t>Damage_Reduction_Physical</t>
    <phoneticPr fontId="1" type="noConversion"/>
  </si>
  <si>
    <t>Damage_Reduction_VSSlash</t>
    <phoneticPr fontId="1" type="noConversion"/>
  </si>
  <si>
    <t>Damage_Reduction_VSStrike</t>
    <phoneticPr fontId="1" type="noConversion"/>
  </si>
  <si>
    <t>Damage_Reduction_Thrust</t>
    <phoneticPr fontId="1" type="noConversion"/>
  </si>
  <si>
    <t>Resistance_Bleed</t>
    <phoneticPr fontId="1" type="noConversion"/>
  </si>
  <si>
    <t>Resistance_Posion</t>
    <phoneticPr fontId="1" type="noConversion"/>
  </si>
  <si>
    <t>Resistance_Frost</t>
    <phoneticPr fontId="1" type="noConversion"/>
  </si>
  <si>
    <t>Resistance_Curse</t>
    <phoneticPr fontId="1" type="noConversion"/>
  </si>
  <si>
    <t>Resistance_Poise</t>
    <phoneticPr fontId="1" type="noConversion"/>
  </si>
  <si>
    <t>Knight Helm</t>
    <phoneticPr fontId="1" type="noConversion"/>
  </si>
  <si>
    <t>데미지 감소율 - 물리</t>
    <phoneticPr fontId="1" type="noConversion"/>
  </si>
  <si>
    <t>데미지 감소율 - 대 타격</t>
    <phoneticPr fontId="1" type="noConversion"/>
  </si>
  <si>
    <t>데미지 감소율 - 대 참격</t>
    <phoneticPr fontId="1" type="noConversion"/>
  </si>
  <si>
    <t>데미지 감소율 - 대 관통</t>
    <phoneticPr fontId="1" type="noConversion"/>
  </si>
  <si>
    <t>데미지 감소율 - 마력</t>
    <phoneticPr fontId="1" type="noConversion"/>
  </si>
  <si>
    <t>데미지 감소율 - 화염</t>
    <phoneticPr fontId="1" type="noConversion"/>
  </si>
  <si>
    <t>데미지 감소율 - 벼락</t>
    <phoneticPr fontId="1" type="noConversion"/>
  </si>
  <si>
    <t>데미지 감소율 - 어둠</t>
    <phoneticPr fontId="1" type="noConversion"/>
  </si>
  <si>
    <t>내성치 - 출혈</t>
    <phoneticPr fontId="1" type="noConversion"/>
  </si>
  <si>
    <t>내성치 - 독</t>
    <phoneticPr fontId="1" type="noConversion"/>
  </si>
  <si>
    <t>내성치 - 냉기</t>
    <phoneticPr fontId="1" type="noConversion"/>
  </si>
  <si>
    <t>내성치 - 저주사</t>
    <phoneticPr fontId="1" type="noConversion"/>
  </si>
  <si>
    <t>내성치 - 강인도</t>
    <phoneticPr fontId="1" type="noConversion"/>
  </si>
  <si>
    <t>Icon</t>
    <phoneticPr fontId="1" type="noConversion"/>
  </si>
  <si>
    <t>아이콘</t>
    <phoneticPr fontId="1" type="noConversion"/>
  </si>
  <si>
    <t>Prefab_Path</t>
    <phoneticPr fontId="1" type="noConversion"/>
  </si>
  <si>
    <t>프리팹 경로</t>
    <phoneticPr fontId="1" type="noConversion"/>
  </si>
  <si>
    <t>Prefabs/Items/Weapons/MeleeWeapon/Broad Sword</t>
    <phoneticPr fontId="1" type="noConversion"/>
  </si>
  <si>
    <t>Prefabs/Items/Weapons/Catalyst/Pyromancy Flame</t>
    <phoneticPr fontId="1" type="noConversion"/>
  </si>
  <si>
    <t>Prefabs/Items/Weapons/Catalyst/Talisman</t>
    <phoneticPr fontId="1" type="noConversion"/>
  </si>
  <si>
    <t>Prefabs/Items/Weapons/RangeWeapon/Short Bow</t>
    <phoneticPr fontId="1" type="noConversion"/>
  </si>
  <si>
    <t>Prefabs/Items/Weapons/Shield/Shield</t>
    <phoneticPr fontId="1" type="noConversion"/>
  </si>
  <si>
    <t>East-West Shield</t>
    <phoneticPr fontId="1" type="noConversion"/>
  </si>
  <si>
    <t>Art/Textures/UI/high res icons/01_weapons/Broad sword</t>
    <phoneticPr fontId="1" type="noConversion"/>
  </si>
  <si>
    <t>Art/Textures/UI/high res icons/01_weapons/Phyromancy Flame</t>
    <phoneticPr fontId="1" type="noConversion"/>
  </si>
  <si>
    <t>Art/Textures/UI/high res icons/01_weapons/Talisman</t>
    <phoneticPr fontId="1" type="noConversion"/>
  </si>
  <si>
    <t>Art/Textures/UI/high res icons/01_weapons/Short Bow</t>
    <phoneticPr fontId="1" type="noConversion"/>
  </si>
  <si>
    <t>Art/Textures/UI/high res icons/02_shields/East-West Shield</t>
    <phoneticPr fontId="1" type="noConversion"/>
  </si>
  <si>
    <t>Icon</t>
    <phoneticPr fontId="1" type="noConversion"/>
  </si>
  <si>
    <t>Art/Textures/UI/high res icons/04_spells/Heal</t>
    <phoneticPr fontId="1" type="noConversion"/>
  </si>
  <si>
    <t>Fire Ball</t>
    <phoneticPr fontId="1" type="noConversion"/>
  </si>
  <si>
    <t>Art/Textures/UI/high res icons/04_spells/Fire Ball</t>
    <phoneticPr fontId="1" type="noConversion"/>
  </si>
  <si>
    <t>Knight Gauntlets</t>
    <phoneticPr fontId="1" type="noConversion"/>
  </si>
  <si>
    <t>Knight Leggings</t>
    <phoneticPr fontId="1" type="noConversion"/>
  </si>
  <si>
    <t>id</t>
    <phoneticPr fontId="1" type="noConversion"/>
  </si>
  <si>
    <t>Weigh</t>
    <phoneticPr fontId="1" type="noConversion"/>
  </si>
  <si>
    <t>Item Description</t>
    <phoneticPr fontId="1" type="noConversion"/>
  </si>
  <si>
    <t>무게</t>
    <phoneticPr fontId="1" type="noConversion"/>
  </si>
  <si>
    <t>Ruby Ring</t>
    <phoneticPr fontId="1" type="noConversion"/>
  </si>
  <si>
    <t>Art/Textures/UI/high res icons/00_items/Estus Flask</t>
    <phoneticPr fontId="1" type="noConversion"/>
  </si>
  <si>
    <t>Art/Textures/UI/high res icons/05_rings/Ruby Ring</t>
    <phoneticPr fontId="1" type="noConversion"/>
  </si>
  <si>
    <t>Damage Up</t>
    <phoneticPr fontId="1" type="noConversion"/>
  </si>
  <si>
    <t>Prefabs/Items/Tool/Estus Flask</t>
    <phoneticPr fontId="1" type="noConversion"/>
  </si>
  <si>
    <t>Prefabs/Items/Tool/Firebomb</t>
    <phoneticPr fontId="1" type="noConversion"/>
  </si>
  <si>
    <t>Prefabs/Items/Tool/Pupple Moss Clump</t>
    <phoneticPr fontId="1" type="noConversion"/>
  </si>
  <si>
    <t>Art/Textures/UI/high res icons/00_items/Fire Buff Item</t>
    <phoneticPr fontId="1" type="noConversion"/>
  </si>
  <si>
    <t>Art/Textures/UI/high res icons/00_items/Firebomb</t>
    <phoneticPr fontId="1" type="noConversion"/>
  </si>
  <si>
    <t>Art/Textures/UI/high res icons/00_items/PuppleMossClump</t>
    <phoneticPr fontId="1" type="noConversion"/>
  </si>
  <si>
    <t>The Undead treasure these dull green flasks. Fill with Estus at bonfires and drink to restore HP. The journey of an Undead has always traced the bonfires and no journey of import has been made without an Estus Flask</t>
  </si>
  <si>
    <t>An obscure knight of poor renown who collapsed roaming the land. Sturdy owing to high vitality and stout armor.</t>
  </si>
  <si>
    <t>Naked and of unknown origin. Either an unimaginable fool in life or was stripped of possessions upon burial.</t>
  </si>
  <si>
    <t>PhysicalDamage</t>
    <phoneticPr fontId="1" type="noConversion"/>
  </si>
  <si>
    <t>FireDamage</t>
    <phoneticPr fontId="1" type="noConversion"/>
  </si>
  <si>
    <t>MagicDamage</t>
    <phoneticPr fontId="1" type="noConversion"/>
  </si>
  <si>
    <t>LightningDamage</t>
    <phoneticPr fontId="1" type="noConversion"/>
  </si>
  <si>
    <t>DarkDamage</t>
    <phoneticPr fontId="1" type="noConversion"/>
  </si>
  <si>
    <t>Skeleton Warior King</t>
    <phoneticPr fontId="1" type="noConversion"/>
  </si>
  <si>
    <t>Monster/Boss/Skeleton Warior King</t>
    <phoneticPr fontId="1" type="noConversion"/>
  </si>
  <si>
    <t>공격력 - 마법</t>
    <phoneticPr fontId="1" type="noConversion"/>
  </si>
  <si>
    <t>공격력 - 화염</t>
    <phoneticPr fontId="1" type="noConversion"/>
  </si>
  <si>
    <t>공격력 - 번개</t>
    <phoneticPr fontId="1" type="noConversion"/>
  </si>
  <si>
    <t>공격력 - 어둠</t>
    <phoneticPr fontId="1" type="noConversion"/>
  </si>
  <si>
    <t>ToolType</t>
    <phoneticPr fontId="1" type="noConversion"/>
  </si>
  <si>
    <t>툴 타입</t>
    <phoneticPr fontId="1" type="noConversion"/>
  </si>
  <si>
    <t>Elementary miracle cast by clerics. Restores HP for self and those in the vicinity. To use miracles. equip a talisman or sacred chime and attune a miracle at a bonfire.</t>
  </si>
  <si>
    <t>Elementary pyromancy. Hurls a fireball. To use sorceries. equip a flame and attune a pyromancy at a bonfire.</t>
  </si>
  <si>
    <t>FRIENDLY_Y_PHANTOM</t>
  </si>
  <si>
    <t>Spear</t>
    <phoneticPr fontId="1" type="noConversion"/>
  </si>
  <si>
    <t>Battle Axe</t>
    <phoneticPr fontId="1" type="noConversion"/>
  </si>
  <si>
    <t>Estoc</t>
    <phoneticPr fontId="1" type="noConversion"/>
  </si>
  <si>
    <t>Art/Textures/UI/high res icons/01_weapons/Spear</t>
    <phoneticPr fontId="1" type="noConversion"/>
  </si>
  <si>
    <t>Art/Textures/UI/high res icons/01_weapons/Battle Axe</t>
    <phoneticPr fontId="1" type="noConversion"/>
  </si>
  <si>
    <t>Art/Textures/UI/high res icons/01_weapons/Estoc</t>
    <phoneticPr fontId="1" type="noConversion"/>
  </si>
  <si>
    <t>Prefabs/Items/Weapons/MeleeWeapon/Spear</t>
    <phoneticPr fontId="1" type="noConversion"/>
  </si>
  <si>
    <t>Prefabs/Items/Weapons/MeleeWeapon/Battle Axe</t>
    <phoneticPr fontId="1" type="noConversion"/>
  </si>
  <si>
    <t>Prefabs/Items/Weapons/MeleeWeapon/Estoc</t>
    <phoneticPr fontId="1" type="noConversion"/>
  </si>
  <si>
    <t>class</t>
  </si>
  <si>
    <t>playerLevel</t>
  </si>
  <si>
    <t>Vigor</t>
  </si>
  <si>
    <t>Strength</t>
  </si>
  <si>
    <t>Dexterity</t>
  </si>
  <si>
    <t>Intelligence</t>
  </si>
  <si>
    <t>Faith</t>
  </si>
  <si>
    <t>Luck</t>
  </si>
  <si>
    <t>LeftHand1</t>
  </si>
  <si>
    <t>RightHand1</t>
  </si>
  <si>
    <t>Head</t>
  </si>
  <si>
    <t>Chest</t>
  </si>
  <si>
    <t>Hand</t>
  </si>
  <si>
    <t>Leg</t>
  </si>
  <si>
    <t>Spell1</t>
  </si>
  <si>
    <t>Spell2</t>
  </si>
  <si>
    <t>Ring</t>
  </si>
  <si>
    <t>Item1</t>
  </si>
  <si>
    <t>ClassDescrition</t>
  </si>
  <si>
    <t>직업</t>
  </si>
  <si>
    <t>총 레벨</t>
  </si>
  <si>
    <t>생명력</t>
  </si>
  <si>
    <t>집중력</t>
  </si>
  <si>
    <t>지구력</t>
  </si>
  <si>
    <t>체력</t>
  </si>
  <si>
    <t>근력</t>
  </si>
  <si>
    <t>기량</t>
  </si>
  <si>
    <t>지성</t>
  </si>
  <si>
    <t>신앙</t>
  </si>
  <si>
    <t>운</t>
  </si>
  <si>
    <t>왼손 무기1</t>
  </si>
  <si>
    <t>왼손 무기2</t>
  </si>
  <si>
    <t>왼손 무기3</t>
  </si>
  <si>
    <t>오른손 무기1</t>
  </si>
  <si>
    <t>머리</t>
  </si>
  <si>
    <t>가슴</t>
  </si>
  <si>
    <t>손</t>
  </si>
  <si>
    <t>다리</t>
  </si>
  <si>
    <t>스펠1</t>
  </si>
  <si>
    <t>스펠2</t>
  </si>
  <si>
    <t>반지</t>
  </si>
  <si>
    <t>아이템1</t>
  </si>
  <si>
    <t>직업 설명</t>
  </si>
  <si>
    <t>Knight</t>
  </si>
  <si>
    <t>Mercenary</t>
  </si>
  <si>
    <t>A mercenary and veteran of the battlefield. High dexterity allows masterful wielding of dual scimitars.</t>
  </si>
  <si>
    <t>Warrior</t>
  </si>
  <si>
    <t>Descendant of northern warriors famed for their brawn. Utilizes high strength to wield a heavy battleaxe.</t>
  </si>
  <si>
    <t>Herald</t>
  </si>
  <si>
    <t>A former herald who journeyed to finish a quest undertaken. Wields a sturdy spear and employs a gentle restorative miracle.</t>
  </si>
  <si>
    <t>Thief</t>
  </si>
  <si>
    <t>A common thief and pitiful deserter. Wields a dagger intended for backstabs alongside a military-issue bow.</t>
  </si>
  <si>
    <t>Assassin</t>
  </si>
  <si>
    <t>An assassin who stalks their prey from the shadows. Favors sorceries in addition to thrusting swords.</t>
  </si>
  <si>
    <t>Sorcerer</t>
  </si>
  <si>
    <t>A loner who left formal academia to pursue further research. Commands soul sorceries using high intelligence."</t>
  </si>
  <si>
    <t>Pyromancer</t>
  </si>
  <si>
    <t>A pyromancer from a remote region who manipulates flame. Also an adept close combat warrior who wields a hand axe.</t>
  </si>
  <si>
    <t>Cleric</t>
  </si>
  <si>
    <t>A traveling cleric who collapsed from exhaustion. Channels high faith to cast many and varied miracles.</t>
  </si>
  <si>
    <t>Deprived</t>
  </si>
  <si>
    <t>Knight Torso</t>
    <phoneticPr fontId="1" type="noConversion"/>
  </si>
  <si>
    <t>Art/Textures/UI/high res icons/03_armor/</t>
  </si>
  <si>
    <t>Assassin Helm</t>
  </si>
  <si>
    <t>Assassin Torso</t>
  </si>
  <si>
    <t>Assassin Gauntlets</t>
  </si>
  <si>
    <t>Assassin Leggings</t>
  </si>
  <si>
    <t>Herald Helm</t>
  </si>
  <si>
    <t>Herald Torso</t>
  </si>
  <si>
    <t>Herald Gauntlets</t>
  </si>
  <si>
    <t>Herald Leggings</t>
  </si>
  <si>
    <t>Pyromancer Helm</t>
  </si>
  <si>
    <t>Pyromancer Torso</t>
  </si>
  <si>
    <t>Pyromancer Gauntlets</t>
  </si>
  <si>
    <t>Pyromancer Leggings</t>
  </si>
  <si>
    <t>Warrior Helm</t>
  </si>
  <si>
    <t>Warrior Torso</t>
  </si>
  <si>
    <t>Warrior Gauntlets</t>
  </si>
  <si>
    <t>Warrior Leggings</t>
  </si>
  <si>
    <t>Thrust</t>
    <phoneticPr fontId="1" type="noConversion"/>
  </si>
  <si>
    <t>Shield Splitter</t>
  </si>
  <si>
    <t>Warcry</t>
    <phoneticPr fontId="1" type="noConversion"/>
  </si>
  <si>
    <t>Standard/Thrust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</si>
</sst>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맑은 고딕"/>
      <family val="2"/>
      <charset val="129"/>
      <scheme val="minor"/>
    </font>
    <font>
      <sz val="8"/>
      <name val="맑은 고딕"/>
      <family val="2"/>
      <charset val="129"/>
      <scheme val="minor"/>
    </font>
    <font>
      <sz val="9"/>
      <color indexed="81"/>
      <name val="Tahoma"/>
      <family val="2"/>
    </font>
    <font>
      <b/>
      <sz val="9"/>
      <color indexed="81"/>
      <name val="Tahoma"/>
      <family val="2"/>
    </font>
    <font>
      <sz val="9"/>
      <color indexed="81"/>
      <name val="돋움"/>
      <family val="3"/>
      <charset val="129"/>
    </font>
    <font>
      <b/>
      <sz val="9"/>
      <color indexed="81"/>
      <name val="돋움"/>
      <family val="3"/>
      <charset val="129"/>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4">
    <xf numFmtId="0" fontId="0" fillId="0" borderId="0" xfId="0">
      <alignment vertical="center"/>
    </xf>
    <xf numFmtId="0" fontId="0" fillId="0" borderId="0" xfId="0" applyAlignment="1">
      <alignment horizontal="center" vertical="center"/>
    </xf>
    <xf numFmtId="0" fontId="0" fillId="0" borderId="0" xfId="0" applyAlignment="1">
      <alignment vertical="center" wrapText="1"/>
    </xf>
    <xf numFmtId="0" fontId="0" fillId="0" borderId="0" xfId="0" quotePrefix="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A12"/>
  <sheetViews>
    <sheetView topLeftCell="B1" workbookViewId="0">
      <selection activeCell="Y10" sqref="Y10"/>
    </sheetView>
  </sheetViews>
  <sheetFormatPr defaultRowHeight="16.5" x14ac:dyDescent="0.3"/>
  <sheetData>
    <row r="1" spans="1:27" x14ac:dyDescent="0.3">
      <c r="A1" t="s">
        <v>24</v>
      </c>
      <c r="B1" t="s">
        <v>279</v>
      </c>
      <c r="C1" t="s">
        <v>280</v>
      </c>
      <c r="D1" t="s">
        <v>281</v>
      </c>
      <c r="E1" t="s">
        <v>52</v>
      </c>
      <c r="F1" t="s">
        <v>55</v>
      </c>
      <c r="G1" t="s">
        <v>56</v>
      </c>
      <c r="H1" t="s">
        <v>282</v>
      </c>
      <c r="I1" t="s">
        <v>283</v>
      </c>
      <c r="J1" t="s">
        <v>284</v>
      </c>
      <c r="K1" t="s">
        <v>285</v>
      </c>
      <c r="L1" t="s">
        <v>286</v>
      </c>
      <c r="M1" t="s">
        <v>287</v>
      </c>
      <c r="N1" t="s">
        <v>61</v>
      </c>
      <c r="O1" t="s">
        <v>62</v>
      </c>
      <c r="P1" t="s">
        <v>288</v>
      </c>
      <c r="Q1" t="s">
        <v>63</v>
      </c>
      <c r="R1" t="s">
        <v>64</v>
      </c>
      <c r="S1" t="s">
        <v>289</v>
      </c>
      <c r="T1" t="s">
        <v>290</v>
      </c>
      <c r="U1" t="s">
        <v>291</v>
      </c>
      <c r="V1" t="s">
        <v>292</v>
      </c>
      <c r="W1" t="s">
        <v>293</v>
      </c>
      <c r="X1" t="s">
        <v>294</v>
      </c>
      <c r="Y1" t="s">
        <v>295</v>
      </c>
      <c r="Z1" t="s">
        <v>296</v>
      </c>
      <c r="AA1" t="s">
        <v>297</v>
      </c>
    </row>
    <row r="2" spans="1:27" x14ac:dyDescent="0.3">
      <c r="A2" t="s">
        <v>26</v>
      </c>
      <c r="B2" t="s">
        <v>298</v>
      </c>
      <c r="C2" t="s">
        <v>299</v>
      </c>
      <c r="D2" t="s">
        <v>300</v>
      </c>
      <c r="E2" t="s">
        <v>301</v>
      </c>
      <c r="F2" t="s">
        <v>302</v>
      </c>
      <c r="G2" t="s">
        <v>303</v>
      </c>
      <c r="H2" t="s">
        <v>304</v>
      </c>
      <c r="I2" t="s">
        <v>305</v>
      </c>
      <c r="J2" t="s">
        <v>306</v>
      </c>
      <c r="K2" t="s">
        <v>307</v>
      </c>
      <c r="L2" t="s">
        <v>308</v>
      </c>
      <c r="M2" t="s">
        <v>309</v>
      </c>
      <c r="N2" t="s">
        <v>310</v>
      </c>
      <c r="O2" t="s">
        <v>311</v>
      </c>
      <c r="P2" t="s">
        <v>312</v>
      </c>
      <c r="Q2" t="s">
        <v>53</v>
      </c>
      <c r="R2" t="s">
        <v>54</v>
      </c>
      <c r="S2" t="s">
        <v>313</v>
      </c>
      <c r="T2" t="s">
        <v>314</v>
      </c>
      <c r="U2" t="s">
        <v>315</v>
      </c>
      <c r="V2" t="s">
        <v>316</v>
      </c>
      <c r="W2" t="s">
        <v>317</v>
      </c>
      <c r="X2" t="s">
        <v>318</v>
      </c>
      <c r="Y2" t="s">
        <v>319</v>
      </c>
      <c r="Z2" t="s">
        <v>320</v>
      </c>
      <c r="AA2" t="s">
        <v>321</v>
      </c>
    </row>
    <row r="3" spans="1:27" x14ac:dyDescent="0.3">
      <c r="A3">
        <v>1</v>
      </c>
      <c r="B3" t="s">
        <v>322</v>
      </c>
      <c r="C3">
        <v>9</v>
      </c>
      <c r="D3">
        <v>12</v>
      </c>
      <c r="E3">
        <v>10</v>
      </c>
      <c r="F3">
        <v>11</v>
      </c>
      <c r="G3">
        <v>15</v>
      </c>
      <c r="H3">
        <v>13</v>
      </c>
      <c r="I3">
        <v>12</v>
      </c>
      <c r="J3">
        <v>9</v>
      </c>
      <c r="K3">
        <v>9</v>
      </c>
      <c r="L3">
        <v>7</v>
      </c>
      <c r="M3">
        <v>5</v>
      </c>
      <c r="N3">
        <v>0</v>
      </c>
      <c r="O3">
        <v>0</v>
      </c>
      <c r="P3">
        <v>1</v>
      </c>
      <c r="Q3">
        <v>0</v>
      </c>
      <c r="R3">
        <v>0</v>
      </c>
      <c r="S3">
        <v>1001</v>
      </c>
      <c r="T3">
        <v>1002</v>
      </c>
      <c r="U3">
        <v>1003</v>
      </c>
      <c r="V3">
        <v>1004</v>
      </c>
      <c r="W3">
        <v>0</v>
      </c>
      <c r="X3">
        <v>0</v>
      </c>
      <c r="Y3">
        <v>0</v>
      </c>
      <c r="Z3">
        <v>0</v>
      </c>
      <c r="AA3" t="s">
        <v>252</v>
      </c>
    </row>
    <row r="4" spans="1:27" x14ac:dyDescent="0.3">
      <c r="A4">
        <v>2</v>
      </c>
      <c r="B4" t="s">
        <v>323</v>
      </c>
      <c r="C4">
        <v>8</v>
      </c>
      <c r="D4">
        <v>11</v>
      </c>
      <c r="E4">
        <v>12</v>
      </c>
      <c r="F4">
        <v>11</v>
      </c>
      <c r="G4">
        <v>10</v>
      </c>
      <c r="H4">
        <v>10</v>
      </c>
      <c r="I4">
        <v>16</v>
      </c>
      <c r="J4">
        <v>10</v>
      </c>
      <c r="K4">
        <v>8</v>
      </c>
      <c r="L4">
        <v>9</v>
      </c>
      <c r="M4">
        <v>0</v>
      </c>
      <c r="N4">
        <v>0</v>
      </c>
      <c r="O4">
        <v>0</v>
      </c>
      <c r="P4">
        <v>0</v>
      </c>
      <c r="Q4">
        <v>0</v>
      </c>
      <c r="R4">
        <v>0</v>
      </c>
      <c r="S4">
        <v>0</v>
      </c>
      <c r="T4">
        <v>0</v>
      </c>
      <c r="U4">
        <v>0</v>
      </c>
      <c r="V4">
        <v>0</v>
      </c>
      <c r="W4">
        <v>0</v>
      </c>
      <c r="X4">
        <v>0</v>
      </c>
      <c r="Y4">
        <v>0</v>
      </c>
      <c r="Z4">
        <v>0</v>
      </c>
      <c r="AA4" t="s">
        <v>324</v>
      </c>
    </row>
    <row r="5" spans="1:27" x14ac:dyDescent="0.3">
      <c r="A5">
        <v>3</v>
      </c>
      <c r="B5" t="s">
        <v>325</v>
      </c>
      <c r="C5">
        <v>7</v>
      </c>
      <c r="D5">
        <v>14</v>
      </c>
      <c r="E5">
        <v>6</v>
      </c>
      <c r="F5">
        <v>12</v>
      </c>
      <c r="G5">
        <v>11</v>
      </c>
      <c r="H5">
        <v>16</v>
      </c>
      <c r="I5">
        <v>9</v>
      </c>
      <c r="J5">
        <v>8</v>
      </c>
      <c r="K5">
        <v>9</v>
      </c>
      <c r="L5">
        <v>11</v>
      </c>
      <c r="M5">
        <v>5</v>
      </c>
      <c r="N5">
        <v>0</v>
      </c>
      <c r="O5">
        <v>0</v>
      </c>
      <c r="P5">
        <v>6</v>
      </c>
      <c r="Q5">
        <v>0</v>
      </c>
      <c r="R5">
        <v>0</v>
      </c>
      <c r="S5">
        <v>1017</v>
      </c>
      <c r="T5">
        <v>1018</v>
      </c>
      <c r="U5">
        <v>1019</v>
      </c>
      <c r="V5">
        <v>1020</v>
      </c>
      <c r="W5">
        <v>0</v>
      </c>
      <c r="X5">
        <v>0</v>
      </c>
      <c r="Y5">
        <v>0</v>
      </c>
      <c r="Z5">
        <v>0</v>
      </c>
      <c r="AA5" t="s">
        <v>326</v>
      </c>
    </row>
    <row r="6" spans="1:27" x14ac:dyDescent="0.3">
      <c r="A6">
        <v>4</v>
      </c>
      <c r="B6" t="s">
        <v>327</v>
      </c>
      <c r="C6">
        <v>9</v>
      </c>
      <c r="D6">
        <v>12</v>
      </c>
      <c r="E6">
        <v>10</v>
      </c>
      <c r="F6">
        <v>9</v>
      </c>
      <c r="G6">
        <v>12</v>
      </c>
      <c r="H6">
        <v>12</v>
      </c>
      <c r="I6">
        <v>11</v>
      </c>
      <c r="J6">
        <v>8</v>
      </c>
      <c r="K6">
        <v>13</v>
      </c>
      <c r="L6">
        <v>11</v>
      </c>
      <c r="M6">
        <v>5</v>
      </c>
      <c r="N6">
        <v>0</v>
      </c>
      <c r="O6">
        <v>0</v>
      </c>
      <c r="P6">
        <v>7</v>
      </c>
      <c r="Q6">
        <v>3</v>
      </c>
      <c r="R6">
        <v>0</v>
      </c>
      <c r="S6">
        <v>1009</v>
      </c>
      <c r="T6">
        <v>1010</v>
      </c>
      <c r="U6">
        <v>1011</v>
      </c>
      <c r="V6">
        <v>1012</v>
      </c>
      <c r="W6">
        <v>101</v>
      </c>
      <c r="X6">
        <v>0</v>
      </c>
      <c r="Y6">
        <v>0</v>
      </c>
      <c r="Z6">
        <v>0</v>
      </c>
      <c r="AA6" t="s">
        <v>328</v>
      </c>
    </row>
    <row r="7" spans="1:27" x14ac:dyDescent="0.3">
      <c r="A7">
        <v>5</v>
      </c>
      <c r="B7" t="s">
        <v>329</v>
      </c>
      <c r="C7">
        <v>5</v>
      </c>
      <c r="D7">
        <v>10</v>
      </c>
      <c r="E7">
        <v>11</v>
      </c>
      <c r="F7">
        <v>10</v>
      </c>
      <c r="G7">
        <v>9</v>
      </c>
      <c r="H7">
        <v>9</v>
      </c>
      <c r="I7">
        <v>13</v>
      </c>
      <c r="J7">
        <v>10</v>
      </c>
      <c r="K7">
        <v>8</v>
      </c>
      <c r="L7">
        <v>14</v>
      </c>
      <c r="M7">
        <v>0</v>
      </c>
      <c r="N7">
        <v>0</v>
      </c>
      <c r="O7">
        <v>0</v>
      </c>
      <c r="P7">
        <v>0</v>
      </c>
      <c r="Q7">
        <v>0</v>
      </c>
      <c r="R7">
        <v>0</v>
      </c>
      <c r="S7">
        <v>0</v>
      </c>
      <c r="T7">
        <v>0</v>
      </c>
      <c r="U7">
        <v>0</v>
      </c>
      <c r="V7">
        <v>0</v>
      </c>
      <c r="W7">
        <v>0</v>
      </c>
      <c r="X7">
        <v>0</v>
      </c>
      <c r="Y7">
        <v>0</v>
      </c>
      <c r="Z7">
        <v>0</v>
      </c>
      <c r="AA7" t="s">
        <v>330</v>
      </c>
    </row>
    <row r="8" spans="1:27" x14ac:dyDescent="0.3">
      <c r="A8">
        <v>6</v>
      </c>
      <c r="B8" t="s">
        <v>331</v>
      </c>
      <c r="C8">
        <v>10</v>
      </c>
      <c r="D8">
        <v>10</v>
      </c>
      <c r="E8">
        <v>14</v>
      </c>
      <c r="F8">
        <v>11</v>
      </c>
      <c r="G8">
        <v>10</v>
      </c>
      <c r="H8">
        <v>10</v>
      </c>
      <c r="I8">
        <v>14</v>
      </c>
      <c r="J8">
        <v>11</v>
      </c>
      <c r="K8">
        <v>9</v>
      </c>
      <c r="L8">
        <v>10</v>
      </c>
      <c r="M8">
        <v>5</v>
      </c>
      <c r="N8">
        <v>0</v>
      </c>
      <c r="O8">
        <v>0</v>
      </c>
      <c r="P8">
        <v>8</v>
      </c>
      <c r="Q8">
        <v>0</v>
      </c>
      <c r="R8">
        <v>0</v>
      </c>
      <c r="S8">
        <v>1005</v>
      </c>
      <c r="T8">
        <v>1006</v>
      </c>
      <c r="U8">
        <v>1007</v>
      </c>
      <c r="V8">
        <v>1008</v>
      </c>
      <c r="W8">
        <v>0</v>
      </c>
      <c r="X8">
        <v>0</v>
      </c>
      <c r="Y8">
        <v>0</v>
      </c>
      <c r="Z8">
        <v>0</v>
      </c>
      <c r="AA8" t="s">
        <v>332</v>
      </c>
    </row>
    <row r="9" spans="1:27" x14ac:dyDescent="0.3">
      <c r="A9">
        <v>7</v>
      </c>
      <c r="B9" t="s">
        <v>333</v>
      </c>
      <c r="C9">
        <v>6</v>
      </c>
      <c r="D9">
        <v>9</v>
      </c>
      <c r="E9">
        <v>16</v>
      </c>
      <c r="F9">
        <v>9</v>
      </c>
      <c r="G9">
        <v>7</v>
      </c>
      <c r="H9">
        <v>7</v>
      </c>
      <c r="I9">
        <v>12</v>
      </c>
      <c r="J9">
        <v>16</v>
      </c>
      <c r="K9">
        <v>7</v>
      </c>
      <c r="L9">
        <v>12</v>
      </c>
      <c r="M9">
        <v>0</v>
      </c>
      <c r="N9">
        <v>0</v>
      </c>
      <c r="O9">
        <v>0</v>
      </c>
      <c r="P9">
        <v>0</v>
      </c>
      <c r="Q9">
        <v>0</v>
      </c>
      <c r="R9">
        <v>0</v>
      </c>
      <c r="S9">
        <v>0</v>
      </c>
      <c r="T9">
        <v>0</v>
      </c>
      <c r="U9">
        <v>0</v>
      </c>
      <c r="V9">
        <v>0</v>
      </c>
      <c r="W9">
        <v>0</v>
      </c>
      <c r="X9">
        <v>0</v>
      </c>
      <c r="Y9">
        <v>0</v>
      </c>
      <c r="Z9">
        <v>0</v>
      </c>
      <c r="AA9" t="s">
        <v>334</v>
      </c>
    </row>
    <row r="10" spans="1:27" x14ac:dyDescent="0.3">
      <c r="A10">
        <v>8</v>
      </c>
      <c r="B10" t="s">
        <v>335</v>
      </c>
      <c r="C10">
        <v>8</v>
      </c>
      <c r="D10">
        <v>11</v>
      </c>
      <c r="E10">
        <v>12</v>
      </c>
      <c r="F10">
        <v>10</v>
      </c>
      <c r="G10">
        <v>8</v>
      </c>
      <c r="H10">
        <v>12</v>
      </c>
      <c r="I10">
        <v>9</v>
      </c>
      <c r="J10">
        <v>14</v>
      </c>
      <c r="K10">
        <v>14</v>
      </c>
      <c r="L10">
        <v>7</v>
      </c>
      <c r="M10">
        <v>5</v>
      </c>
      <c r="N10">
        <v>0</v>
      </c>
      <c r="O10">
        <v>0</v>
      </c>
      <c r="P10">
        <v>2</v>
      </c>
      <c r="Q10">
        <v>0</v>
      </c>
      <c r="R10">
        <v>0</v>
      </c>
      <c r="S10">
        <v>1013</v>
      </c>
      <c r="T10">
        <v>1014</v>
      </c>
      <c r="U10">
        <v>1015</v>
      </c>
      <c r="V10">
        <v>1016</v>
      </c>
      <c r="W10">
        <v>102</v>
      </c>
      <c r="X10">
        <v>0</v>
      </c>
      <c r="Y10">
        <v>1</v>
      </c>
      <c r="Z10">
        <v>0</v>
      </c>
      <c r="AA10" t="s">
        <v>336</v>
      </c>
    </row>
    <row r="11" spans="1:27" x14ac:dyDescent="0.3">
      <c r="A11">
        <v>9</v>
      </c>
      <c r="B11" t="s">
        <v>337</v>
      </c>
      <c r="C11">
        <v>7</v>
      </c>
      <c r="D11">
        <v>10</v>
      </c>
      <c r="E11">
        <v>14</v>
      </c>
      <c r="F11">
        <v>9</v>
      </c>
      <c r="G11">
        <v>7</v>
      </c>
      <c r="H11">
        <v>12</v>
      </c>
      <c r="I11">
        <v>8</v>
      </c>
      <c r="J11">
        <v>7</v>
      </c>
      <c r="K11">
        <v>16</v>
      </c>
      <c r="L11">
        <v>13</v>
      </c>
      <c r="M11">
        <v>0</v>
      </c>
      <c r="N11">
        <v>0</v>
      </c>
      <c r="O11">
        <v>0</v>
      </c>
      <c r="P11">
        <v>0</v>
      </c>
      <c r="Q11">
        <v>0</v>
      </c>
      <c r="R11">
        <v>0</v>
      </c>
      <c r="S11">
        <v>0</v>
      </c>
      <c r="T11">
        <v>0</v>
      </c>
      <c r="U11">
        <v>0</v>
      </c>
      <c r="V11">
        <v>0</v>
      </c>
      <c r="W11">
        <v>0</v>
      </c>
      <c r="X11">
        <v>0</v>
      </c>
      <c r="Y11">
        <v>0</v>
      </c>
      <c r="Z11">
        <v>0</v>
      </c>
      <c r="AA11" t="s">
        <v>338</v>
      </c>
    </row>
    <row r="12" spans="1:27" x14ac:dyDescent="0.3">
      <c r="A12">
        <v>10</v>
      </c>
      <c r="B12" t="s">
        <v>339</v>
      </c>
      <c r="C12">
        <v>1</v>
      </c>
      <c r="D12">
        <v>10</v>
      </c>
      <c r="E12">
        <v>10</v>
      </c>
      <c r="F12">
        <v>10</v>
      </c>
      <c r="G12">
        <v>10</v>
      </c>
      <c r="H12">
        <v>10</v>
      </c>
      <c r="I12">
        <v>10</v>
      </c>
      <c r="J12">
        <v>10</v>
      </c>
      <c r="K12">
        <v>10</v>
      </c>
      <c r="L12">
        <v>10</v>
      </c>
      <c r="M12">
        <v>5</v>
      </c>
      <c r="N12">
        <v>0</v>
      </c>
      <c r="O12">
        <v>0</v>
      </c>
      <c r="P12">
        <v>1</v>
      </c>
      <c r="Q12">
        <v>0</v>
      </c>
      <c r="R12">
        <v>0</v>
      </c>
      <c r="S12">
        <v>0</v>
      </c>
      <c r="T12">
        <v>0</v>
      </c>
      <c r="U12">
        <v>0</v>
      </c>
      <c r="V12">
        <v>0</v>
      </c>
      <c r="W12">
        <v>0</v>
      </c>
      <c r="X12">
        <v>0</v>
      </c>
      <c r="Y12">
        <v>0</v>
      </c>
      <c r="Z12">
        <v>0</v>
      </c>
      <c r="AA12" t="s">
        <v>253</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5"/>
  <sheetViews>
    <sheetView workbookViewId="0">
      <selection activeCell="M19" sqref="M19"/>
    </sheetView>
  </sheetViews>
  <sheetFormatPr defaultColWidth="9" defaultRowHeight="16.5" x14ac:dyDescent="0.3"/>
  <cols>
    <col min="1" max="1" width="10.375" style="1" bestFit="1" customWidth="1"/>
    <col min="2" max="2" width="11" style="1" bestFit="1" customWidth="1"/>
    <col min="3" max="3" width="11.625" style="1" bestFit="1" customWidth="1"/>
    <col min="4" max="4" width="13" style="1" bestFit="1" customWidth="1"/>
    <col min="5" max="5" width="12.875" style="1" bestFit="1" customWidth="1"/>
    <col min="6" max="6" width="11" style="1" bestFit="1" customWidth="1"/>
    <col min="7" max="7" width="9.375" style="1" bestFit="1" customWidth="1"/>
    <col min="8" max="8" width="17.75" style="1" bestFit="1" customWidth="1"/>
    <col min="9" max="16384" width="9" style="1"/>
  </cols>
  <sheetData>
    <row r="1" spans="1:8" x14ac:dyDescent="0.3">
      <c r="A1" s="1" t="s">
        <v>0</v>
      </c>
      <c r="B1" s="1" t="s">
        <v>1</v>
      </c>
      <c r="C1" s="1" t="s">
        <v>2</v>
      </c>
      <c r="D1" s="1" t="s">
        <v>3</v>
      </c>
      <c r="E1" s="1" t="s">
        <v>4</v>
      </c>
      <c r="F1" s="1" t="s">
        <v>5</v>
      </c>
      <c r="G1" s="1" t="s">
        <v>6</v>
      </c>
      <c r="H1" s="1" t="s">
        <v>10</v>
      </c>
    </row>
    <row r="2" spans="1:8" x14ac:dyDescent="0.3">
      <c r="A2" s="1" t="s">
        <v>7</v>
      </c>
      <c r="B2" s="1" t="s">
        <v>8</v>
      </c>
      <c r="C2" s="1" t="s">
        <v>9</v>
      </c>
      <c r="D2" s="1" t="s">
        <v>11</v>
      </c>
      <c r="E2" s="1" t="s">
        <v>12</v>
      </c>
      <c r="F2" s="1" t="s">
        <v>13</v>
      </c>
      <c r="G2" s="1" t="s">
        <v>14</v>
      </c>
      <c r="H2" s="1" t="s">
        <v>15</v>
      </c>
    </row>
    <row r="3" spans="1:8" x14ac:dyDescent="0.3">
      <c r="A3" s="1">
        <v>1</v>
      </c>
      <c r="B3" s="1">
        <v>0</v>
      </c>
      <c r="C3" s="1">
        <v>0.1</v>
      </c>
      <c r="D3" s="1">
        <v>0.1</v>
      </c>
      <c r="E3" s="1">
        <v>0.1</v>
      </c>
      <c r="F3" s="1">
        <v>3</v>
      </c>
      <c r="G3" s="1">
        <v>1</v>
      </c>
      <c r="H3" s="1">
        <v>4</v>
      </c>
    </row>
    <row r="4" spans="1:8" x14ac:dyDescent="0.3">
      <c r="A4" s="1">
        <v>2</v>
      </c>
      <c r="B4" s="1">
        <v>0</v>
      </c>
      <c r="C4" s="1">
        <v>0.15</v>
      </c>
      <c r="D4" s="1">
        <v>0.01</v>
      </c>
      <c r="E4" s="1">
        <v>0.05</v>
      </c>
      <c r="F4" s="1">
        <v>5</v>
      </c>
      <c r="G4" s="1">
        <v>0.05</v>
      </c>
      <c r="H4" s="1">
        <v>4</v>
      </c>
    </row>
    <row r="5" spans="1:8" x14ac:dyDescent="0.3">
      <c r="A5" s="1">
        <v>3</v>
      </c>
      <c r="B5" s="1">
        <v>0</v>
      </c>
      <c r="C5" s="1">
        <v>0.3</v>
      </c>
      <c r="D5" s="1">
        <v>0.1</v>
      </c>
      <c r="E5" s="1">
        <v>0.5</v>
      </c>
      <c r="F5" s="1">
        <v>10</v>
      </c>
      <c r="G5" s="1">
        <v>0.2</v>
      </c>
      <c r="H5" s="1">
        <v>4</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A6810-420D-4945-B82E-B89AA29D0280}">
  <sheetPr codeName="Sheet5"/>
  <dimension ref="A1:F5"/>
  <sheetViews>
    <sheetView workbookViewId="0">
      <selection activeCell="G14" sqref="G14"/>
    </sheetView>
  </sheetViews>
  <sheetFormatPr defaultColWidth="9" defaultRowHeight="16.5" x14ac:dyDescent="0.3"/>
  <cols>
    <col min="1" max="1" width="10.375" style="1" bestFit="1" customWidth="1"/>
    <col min="2" max="2" width="11" style="1" bestFit="1" customWidth="1"/>
    <col min="3" max="3" width="11.625" style="1" bestFit="1" customWidth="1"/>
    <col min="4" max="4" width="13" style="1" bestFit="1" customWidth="1"/>
    <col min="5" max="5" width="12.875" style="1" bestFit="1" customWidth="1"/>
    <col min="6" max="6" width="16.5" style="1" bestFit="1" customWidth="1"/>
    <col min="7" max="7" width="9.375" style="1" bestFit="1" customWidth="1"/>
    <col min="8" max="8" width="17.75" style="1" bestFit="1" customWidth="1"/>
    <col min="9" max="16384" width="9" style="1"/>
  </cols>
  <sheetData>
    <row r="1" spans="1:6" x14ac:dyDescent="0.3">
      <c r="A1" s="1" t="s">
        <v>0</v>
      </c>
      <c r="B1" s="1" t="s">
        <v>1</v>
      </c>
      <c r="C1" s="1" t="s">
        <v>44</v>
      </c>
      <c r="D1" s="1" t="s">
        <v>46</v>
      </c>
      <c r="E1" s="1" t="s">
        <v>47</v>
      </c>
      <c r="F1" s="1" t="s">
        <v>49</v>
      </c>
    </row>
    <row r="2" spans="1:6" x14ac:dyDescent="0.3">
      <c r="A2" s="1" t="s">
        <v>7</v>
      </c>
      <c r="B2" s="1" t="s">
        <v>8</v>
      </c>
      <c r="C2" s="1" t="s">
        <v>45</v>
      </c>
      <c r="D2" s="1" t="s">
        <v>50</v>
      </c>
      <c r="E2" s="1" t="s">
        <v>48</v>
      </c>
      <c r="F2" s="1" t="s">
        <v>51</v>
      </c>
    </row>
    <row r="3" spans="1:6" x14ac:dyDescent="0.3">
      <c r="A3" s="1">
        <v>1</v>
      </c>
      <c r="B3" s="1">
        <v>0</v>
      </c>
      <c r="C3" s="1">
        <v>5</v>
      </c>
      <c r="D3" s="1">
        <v>1</v>
      </c>
      <c r="E3" s="1">
        <v>3</v>
      </c>
      <c r="F3" s="1">
        <v>1</v>
      </c>
    </row>
    <row r="4" spans="1:6" x14ac:dyDescent="0.3">
      <c r="A4" s="1">
        <v>2</v>
      </c>
      <c r="B4" s="1">
        <v>1</v>
      </c>
      <c r="C4" s="1">
        <v>10</v>
      </c>
      <c r="D4" s="1">
        <v>2</v>
      </c>
      <c r="E4" s="1">
        <v>4</v>
      </c>
      <c r="F4" s="1">
        <v>2</v>
      </c>
    </row>
    <row r="5" spans="1:6" x14ac:dyDescent="0.3">
      <c r="A5" s="1">
        <v>3</v>
      </c>
      <c r="B5" s="1">
        <v>2</v>
      </c>
      <c r="C5" s="1">
        <v>20</v>
      </c>
      <c r="D5" s="1">
        <v>2</v>
      </c>
      <c r="E5" s="1">
        <v>5</v>
      </c>
      <c r="F5" s="1">
        <v>2</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8263F-AEC3-4431-82F8-D93D5650DD0B}">
  <sheetPr codeName="Sheet8"/>
  <dimension ref="A1:D6"/>
  <sheetViews>
    <sheetView workbookViewId="0">
      <selection activeCell="D21" sqref="D21"/>
    </sheetView>
  </sheetViews>
  <sheetFormatPr defaultRowHeight="16.5" x14ac:dyDescent="0.3"/>
  <cols>
    <col min="1" max="1" width="7.125" bestFit="1" customWidth="1"/>
    <col min="2" max="2" width="15.625" bestFit="1" customWidth="1"/>
    <col min="3" max="3" width="35.875" style="1" bestFit="1" customWidth="1"/>
    <col min="4" max="4" width="11.625" bestFit="1" customWidth="1"/>
  </cols>
  <sheetData>
    <row r="1" spans="1:4" x14ac:dyDescent="0.3">
      <c r="A1" t="s">
        <v>17</v>
      </c>
      <c r="B1" t="s">
        <v>23</v>
      </c>
      <c r="C1" s="1" t="s">
        <v>19</v>
      </c>
      <c r="D1" s="1" t="s">
        <v>87</v>
      </c>
    </row>
    <row r="2" spans="1:4" x14ac:dyDescent="0.3">
      <c r="A2" t="s">
        <v>16</v>
      </c>
      <c r="B2" t="s">
        <v>18</v>
      </c>
      <c r="C2" s="1" t="s">
        <v>20</v>
      </c>
      <c r="D2" s="1" t="s">
        <v>88</v>
      </c>
    </row>
    <row r="3" spans="1:4" x14ac:dyDescent="0.3">
      <c r="A3">
        <v>1</v>
      </c>
      <c r="B3" t="s">
        <v>36</v>
      </c>
      <c r="C3" s="1" t="s">
        <v>41</v>
      </c>
      <c r="D3">
        <v>1</v>
      </c>
    </row>
    <row r="4" spans="1:4" x14ac:dyDescent="0.3">
      <c r="A4">
        <v>2</v>
      </c>
      <c r="B4" t="s">
        <v>37</v>
      </c>
      <c r="C4" s="1" t="s">
        <v>39</v>
      </c>
      <c r="D4">
        <v>2</v>
      </c>
    </row>
    <row r="5" spans="1:4" x14ac:dyDescent="0.3">
      <c r="A5">
        <v>3</v>
      </c>
      <c r="B5" t="s">
        <v>38</v>
      </c>
      <c r="C5" s="1" t="s">
        <v>40</v>
      </c>
      <c r="D5">
        <v>3</v>
      </c>
    </row>
    <row r="6" spans="1:4" x14ac:dyDescent="0.3">
      <c r="A6">
        <v>101</v>
      </c>
      <c r="B6" t="s">
        <v>259</v>
      </c>
      <c r="C6" s="1" t="s">
        <v>260</v>
      </c>
      <c r="D6">
        <v>101</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7"/>
  <sheetViews>
    <sheetView workbookViewId="0">
      <selection activeCell="A8" sqref="A8"/>
    </sheetView>
  </sheetViews>
  <sheetFormatPr defaultColWidth="9" defaultRowHeight="16.5" x14ac:dyDescent="0.3"/>
  <cols>
    <col min="1" max="1" width="9" style="1"/>
    <col min="2" max="2" width="52.75" style="1" bestFit="1" customWidth="1"/>
    <col min="3" max="3" width="9.625" style="1" bestFit="1" customWidth="1"/>
    <col min="4" max="4" width="11.625" style="1" bestFit="1" customWidth="1"/>
    <col min="5" max="5" width="9" style="1"/>
    <col min="6" max="6" width="16" style="1" bestFit="1" customWidth="1"/>
    <col min="7" max="7" width="14.25" style="1" bestFit="1" customWidth="1"/>
    <col min="8" max="8" width="13.125" style="1" bestFit="1" customWidth="1"/>
    <col min="9" max="9" width="17.5" style="1" bestFit="1" customWidth="1"/>
    <col min="10" max="10" width="13.125" style="1" bestFit="1" customWidth="1"/>
    <col min="11" max="16384" width="9" style="1"/>
  </cols>
  <sheetData>
    <row r="1" spans="1:13" x14ac:dyDescent="0.3">
      <c r="A1" s="1" t="s">
        <v>17</v>
      </c>
      <c r="B1" s="1" t="s">
        <v>89</v>
      </c>
      <c r="C1" s="1" t="s">
        <v>95</v>
      </c>
      <c r="D1" s="1" t="s">
        <v>104</v>
      </c>
      <c r="E1" s="1" t="s">
        <v>22</v>
      </c>
      <c r="F1" s="1" t="s">
        <v>254</v>
      </c>
      <c r="G1" s="1" t="s">
        <v>256</v>
      </c>
      <c r="H1" s="1" t="s">
        <v>255</v>
      </c>
      <c r="I1" s="1" t="s">
        <v>257</v>
      </c>
      <c r="J1" s="1" t="s">
        <v>258</v>
      </c>
      <c r="K1" s="1" t="s">
        <v>97</v>
      </c>
      <c r="L1" s="1" t="s">
        <v>98</v>
      </c>
      <c r="M1" s="1" t="s">
        <v>99</v>
      </c>
    </row>
    <row r="2" spans="1:13" x14ac:dyDescent="0.3">
      <c r="A2" s="1" t="s">
        <v>16</v>
      </c>
      <c r="B2" s="1" t="s">
        <v>90</v>
      </c>
      <c r="C2" s="1" t="s">
        <v>96</v>
      </c>
      <c r="D2" s="1" t="s">
        <v>100</v>
      </c>
      <c r="E2" s="1" t="s">
        <v>21</v>
      </c>
      <c r="F2" s="1" t="s">
        <v>151</v>
      </c>
      <c r="G2" s="1" t="s">
        <v>261</v>
      </c>
      <c r="H2" s="1" t="s">
        <v>262</v>
      </c>
      <c r="I2" s="1" t="s">
        <v>263</v>
      </c>
      <c r="J2" s="1" t="s">
        <v>264</v>
      </c>
      <c r="K2" s="1" t="s">
        <v>101</v>
      </c>
      <c r="L2" s="1" t="s">
        <v>102</v>
      </c>
      <c r="M2" s="1" t="s">
        <v>103</v>
      </c>
    </row>
    <row r="3" spans="1:13" x14ac:dyDescent="0.3">
      <c r="A3" s="1">
        <v>1</v>
      </c>
      <c r="B3" s="1" t="s">
        <v>91</v>
      </c>
      <c r="C3" s="1">
        <v>300</v>
      </c>
      <c r="D3" s="1">
        <v>0</v>
      </c>
      <c r="E3" s="1">
        <v>403</v>
      </c>
      <c r="F3" s="1">
        <v>50</v>
      </c>
      <c r="G3" s="1">
        <v>0</v>
      </c>
      <c r="H3" s="1">
        <v>0</v>
      </c>
      <c r="I3" s="1">
        <v>0</v>
      </c>
      <c r="J3" s="1">
        <v>0</v>
      </c>
      <c r="K3" s="1">
        <v>0</v>
      </c>
      <c r="L3" s="1">
        <v>0</v>
      </c>
      <c r="M3" s="1">
        <v>0</v>
      </c>
    </row>
    <row r="4" spans="1:13" x14ac:dyDescent="0.3">
      <c r="A4" s="1">
        <v>2</v>
      </c>
      <c r="B4" s="1" t="s">
        <v>93</v>
      </c>
      <c r="C4" s="1">
        <v>700</v>
      </c>
      <c r="D4" s="1">
        <v>0</v>
      </c>
      <c r="E4" s="1">
        <v>301</v>
      </c>
      <c r="F4" s="1">
        <v>30</v>
      </c>
      <c r="G4" s="1">
        <v>0</v>
      </c>
      <c r="H4" s="1">
        <v>0</v>
      </c>
      <c r="I4" s="1">
        <v>0</v>
      </c>
      <c r="J4" s="1">
        <v>0</v>
      </c>
      <c r="K4" s="1">
        <v>0</v>
      </c>
      <c r="L4" s="1">
        <v>0</v>
      </c>
      <c r="M4" s="1">
        <v>0</v>
      </c>
    </row>
    <row r="5" spans="1:13" x14ac:dyDescent="0.3">
      <c r="A5" s="1">
        <v>3</v>
      </c>
      <c r="B5" s="1" t="s">
        <v>92</v>
      </c>
      <c r="C5" s="1">
        <v>500</v>
      </c>
      <c r="D5" s="1">
        <v>0</v>
      </c>
      <c r="E5" s="1">
        <v>505</v>
      </c>
      <c r="F5" s="1">
        <v>40</v>
      </c>
      <c r="G5" s="1">
        <v>0</v>
      </c>
      <c r="H5" s="1">
        <v>0</v>
      </c>
      <c r="I5" s="1">
        <v>0</v>
      </c>
      <c r="J5" s="1">
        <v>0</v>
      </c>
      <c r="K5" s="1">
        <v>0</v>
      </c>
      <c r="L5" s="1">
        <v>0</v>
      </c>
      <c r="M5" s="1">
        <v>0</v>
      </c>
    </row>
    <row r="6" spans="1:13" x14ac:dyDescent="0.3">
      <c r="A6" s="1">
        <v>101</v>
      </c>
      <c r="B6" s="1" t="s">
        <v>94</v>
      </c>
      <c r="C6" s="1">
        <v>10000</v>
      </c>
      <c r="D6" s="1">
        <v>0</v>
      </c>
      <c r="E6" s="1">
        <v>2000</v>
      </c>
      <c r="F6" s="1">
        <v>55</v>
      </c>
      <c r="G6" s="1">
        <v>0</v>
      </c>
      <c r="H6" s="1">
        <v>0</v>
      </c>
      <c r="I6" s="1">
        <v>0</v>
      </c>
      <c r="J6" s="1">
        <v>0</v>
      </c>
      <c r="K6" s="1">
        <v>0</v>
      </c>
      <c r="L6" s="1">
        <v>0</v>
      </c>
      <c r="M6" s="1">
        <v>0</v>
      </c>
    </row>
    <row r="7" spans="1:13" x14ac:dyDescent="0.3">
      <c r="A7" s="1">
        <v>1001</v>
      </c>
      <c r="B7" s="1" t="s">
        <v>269</v>
      </c>
      <c r="C7" s="1">
        <v>0</v>
      </c>
      <c r="D7" s="1">
        <v>0</v>
      </c>
      <c r="E7" s="1">
        <v>1500</v>
      </c>
      <c r="F7" s="1">
        <v>79</v>
      </c>
      <c r="G7" s="1">
        <v>0</v>
      </c>
      <c r="H7" s="1">
        <v>0</v>
      </c>
      <c r="I7" s="1">
        <v>0</v>
      </c>
      <c r="J7" s="1">
        <v>0</v>
      </c>
      <c r="K7" s="1">
        <v>0</v>
      </c>
      <c r="L7" s="1">
        <v>0</v>
      </c>
      <c r="M7" s="1">
        <v>0</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502E-0845-4B89-8785-8E93114EFFCE}">
  <sheetPr codeName="Sheet18"/>
  <dimension ref="A1:D6"/>
  <sheetViews>
    <sheetView workbookViewId="0">
      <selection activeCell="I32" sqref="I32"/>
    </sheetView>
  </sheetViews>
  <sheetFormatPr defaultRowHeight="16.5" x14ac:dyDescent="0.3"/>
  <cols>
    <col min="1" max="1" width="6.625" bestFit="1" customWidth="1"/>
    <col min="2" max="2" width="9.875" bestFit="1" customWidth="1"/>
    <col min="3" max="3" width="13.125" bestFit="1" customWidth="1"/>
    <col min="4" max="4" width="5.875" bestFit="1" customWidth="1"/>
  </cols>
  <sheetData>
    <row r="1" spans="1:4" x14ac:dyDescent="0.3">
      <c r="A1" t="s">
        <v>17</v>
      </c>
      <c r="B1" t="s">
        <v>30</v>
      </c>
      <c r="C1" t="s">
        <v>31</v>
      </c>
      <c r="D1" t="s">
        <v>32</v>
      </c>
    </row>
    <row r="2" spans="1:4" x14ac:dyDescent="0.3">
      <c r="A2" t="s">
        <v>16</v>
      </c>
      <c r="B2" t="s">
        <v>33</v>
      </c>
      <c r="C2" t="s">
        <v>34</v>
      </c>
      <c r="D2" t="s">
        <v>35</v>
      </c>
    </row>
    <row r="3" spans="1:4" x14ac:dyDescent="0.3">
      <c r="A3">
        <v>1</v>
      </c>
      <c r="B3">
        <v>20</v>
      </c>
      <c r="C3">
        <v>101</v>
      </c>
      <c r="D3">
        <v>1</v>
      </c>
    </row>
    <row r="4" spans="1:4" x14ac:dyDescent="0.3">
      <c r="A4">
        <v>2</v>
      </c>
      <c r="B4">
        <v>50</v>
      </c>
      <c r="C4">
        <v>2</v>
      </c>
      <c r="D4">
        <v>1</v>
      </c>
    </row>
    <row r="5" spans="1:4" x14ac:dyDescent="0.3">
      <c r="A5">
        <v>3</v>
      </c>
      <c r="B5">
        <v>70</v>
      </c>
      <c r="C5">
        <v>201</v>
      </c>
      <c r="D5">
        <v>2</v>
      </c>
    </row>
    <row r="6" spans="1:4" x14ac:dyDescent="0.3">
      <c r="A6">
        <v>4</v>
      </c>
      <c r="B6">
        <v>100</v>
      </c>
      <c r="C6">
        <v>101</v>
      </c>
      <c r="D6">
        <v>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1CE6-3193-4C29-9E47-22C07AEED831}">
  <sheetPr codeName="Sheet15"/>
  <dimension ref="A1:AJ10"/>
  <sheetViews>
    <sheetView topLeftCell="X1" workbookViewId="0">
      <selection activeCell="AE9" sqref="AE9"/>
    </sheetView>
  </sheetViews>
  <sheetFormatPr defaultRowHeight="16.5" x14ac:dyDescent="0.3"/>
  <cols>
    <col min="2" max="2" width="13.125" bestFit="1" customWidth="1"/>
    <col min="3" max="3" width="53.625" bestFit="1" customWidth="1"/>
    <col min="4" max="4" width="50.375" bestFit="1" customWidth="1"/>
    <col min="5" max="5" width="12.875" bestFit="1" customWidth="1"/>
    <col min="6" max="6" width="21.75" bestFit="1" customWidth="1"/>
    <col min="7" max="7" width="11.625" bestFit="1" customWidth="1"/>
    <col min="8" max="8" width="24.625" bestFit="1" customWidth="1"/>
    <col min="9" max="16" width="24.625" customWidth="1"/>
    <col min="17" max="17" width="14.875" bestFit="1" customWidth="1"/>
    <col min="18" max="18" width="13.125" bestFit="1" customWidth="1"/>
    <col min="19" max="19" width="10.625" bestFit="1" customWidth="1"/>
    <col min="20" max="20" width="16.375" bestFit="1" customWidth="1"/>
    <col min="21" max="21" width="11.75" bestFit="1" customWidth="1"/>
    <col min="22" max="22" width="13.875" bestFit="1" customWidth="1"/>
    <col min="23" max="23" width="16.625" bestFit="1" customWidth="1"/>
    <col min="24" max="24" width="13.375" bestFit="1" customWidth="1"/>
    <col min="25" max="33" width="19.75" bestFit="1" customWidth="1"/>
  </cols>
  <sheetData>
    <row r="1" spans="1:36" x14ac:dyDescent="0.3">
      <c r="A1" t="s">
        <v>17</v>
      </c>
      <c r="B1" t="s">
        <v>23</v>
      </c>
      <c r="C1" t="s">
        <v>216</v>
      </c>
      <c r="D1" t="s">
        <v>218</v>
      </c>
      <c r="E1" t="s">
        <v>110</v>
      </c>
      <c r="F1" t="s">
        <v>109</v>
      </c>
      <c r="G1" t="s">
        <v>111</v>
      </c>
      <c r="H1" t="s">
        <v>112</v>
      </c>
      <c r="I1" t="s">
        <v>132</v>
      </c>
      <c r="J1" t="s">
        <v>133</v>
      </c>
      <c r="K1" t="s">
        <v>134</v>
      </c>
      <c r="L1" t="s">
        <v>135</v>
      </c>
      <c r="M1" t="s">
        <v>136</v>
      </c>
      <c r="N1" t="s">
        <v>137</v>
      </c>
      <c r="O1" t="s">
        <v>138</v>
      </c>
      <c r="P1" t="s">
        <v>139</v>
      </c>
      <c r="Q1" t="s">
        <v>113</v>
      </c>
      <c r="R1" t="s">
        <v>114</v>
      </c>
      <c r="S1" t="s">
        <v>115</v>
      </c>
      <c r="T1" t="s">
        <v>116</v>
      </c>
      <c r="U1" t="s">
        <v>117</v>
      </c>
      <c r="V1" t="s">
        <v>118</v>
      </c>
      <c r="W1" t="s">
        <v>119</v>
      </c>
      <c r="X1" t="s">
        <v>120</v>
      </c>
      <c r="Y1" t="s">
        <v>121</v>
      </c>
      <c r="Z1" t="s">
        <v>122</v>
      </c>
      <c r="AA1" t="s">
        <v>123</v>
      </c>
      <c r="AB1" t="s">
        <v>124</v>
      </c>
      <c r="AC1" t="s">
        <v>125</v>
      </c>
      <c r="AD1" t="s">
        <v>126</v>
      </c>
      <c r="AE1" t="s">
        <v>127</v>
      </c>
      <c r="AF1" t="s">
        <v>128</v>
      </c>
      <c r="AG1" t="s">
        <v>129</v>
      </c>
      <c r="AH1" t="s">
        <v>130</v>
      </c>
      <c r="AI1" t="s">
        <v>131</v>
      </c>
      <c r="AJ1" t="s">
        <v>164</v>
      </c>
    </row>
    <row r="2" spans="1:36" x14ac:dyDescent="0.3">
      <c r="A2" t="s">
        <v>16</v>
      </c>
      <c r="B2" t="s">
        <v>18</v>
      </c>
      <c r="C2" t="s">
        <v>217</v>
      </c>
      <c r="D2" t="s">
        <v>219</v>
      </c>
      <c r="E2" t="s">
        <v>27</v>
      </c>
      <c r="F2" t="s">
        <v>140</v>
      </c>
      <c r="G2" t="s">
        <v>141</v>
      </c>
      <c r="H2" t="s">
        <v>142</v>
      </c>
      <c r="I2" t="s">
        <v>143</v>
      </c>
      <c r="J2" t="s">
        <v>144</v>
      </c>
      <c r="K2" t="s">
        <v>145</v>
      </c>
      <c r="L2" t="s">
        <v>146</v>
      </c>
      <c r="M2" t="s">
        <v>147</v>
      </c>
      <c r="N2" t="s">
        <v>148</v>
      </c>
      <c r="O2" t="s">
        <v>149</v>
      </c>
      <c r="P2" t="s">
        <v>150</v>
      </c>
      <c r="Q2" t="s">
        <v>151</v>
      </c>
      <c r="R2" s="3" t="s">
        <v>152</v>
      </c>
      <c r="S2" t="s">
        <v>153</v>
      </c>
      <c r="T2" t="s">
        <v>154</v>
      </c>
      <c r="U2" t="s">
        <v>155</v>
      </c>
      <c r="V2" t="s">
        <v>156</v>
      </c>
      <c r="W2" t="s">
        <v>157</v>
      </c>
      <c r="X2" t="s">
        <v>158</v>
      </c>
      <c r="Y2" t="s">
        <v>159</v>
      </c>
      <c r="Z2" t="s">
        <v>160</v>
      </c>
      <c r="AA2" t="s">
        <v>161</v>
      </c>
      <c r="AB2" t="s">
        <v>162</v>
      </c>
      <c r="AC2" t="s">
        <v>163</v>
      </c>
      <c r="AD2" t="s">
        <v>166</v>
      </c>
      <c r="AE2" t="s">
        <v>167</v>
      </c>
      <c r="AF2" t="s">
        <v>168</v>
      </c>
      <c r="AG2" t="s">
        <v>169</v>
      </c>
      <c r="AH2" t="s">
        <v>170</v>
      </c>
      <c r="AI2" t="s">
        <v>171</v>
      </c>
      <c r="AJ2" t="s">
        <v>165</v>
      </c>
    </row>
    <row r="3" spans="1:36" x14ac:dyDescent="0.3">
      <c r="A3">
        <v>1</v>
      </c>
      <c r="B3" t="s">
        <v>105</v>
      </c>
      <c r="C3" t="s">
        <v>226</v>
      </c>
      <c r="D3" t="s">
        <v>220</v>
      </c>
      <c r="E3">
        <v>2</v>
      </c>
      <c r="F3" t="s">
        <v>172</v>
      </c>
      <c r="G3" t="s">
        <v>173</v>
      </c>
      <c r="H3">
        <v>17</v>
      </c>
      <c r="I3">
        <v>10</v>
      </c>
      <c r="J3">
        <v>10</v>
      </c>
      <c r="K3">
        <v>0</v>
      </c>
      <c r="L3">
        <v>0</v>
      </c>
      <c r="M3">
        <v>4</v>
      </c>
      <c r="N3">
        <v>3</v>
      </c>
      <c r="O3">
        <v>0</v>
      </c>
      <c r="P3">
        <v>0</v>
      </c>
      <c r="Q3">
        <v>117</v>
      </c>
      <c r="R3">
        <v>0</v>
      </c>
      <c r="S3">
        <v>0</v>
      </c>
      <c r="T3">
        <v>0</v>
      </c>
      <c r="U3">
        <v>0</v>
      </c>
      <c r="V3">
        <v>100</v>
      </c>
      <c r="W3">
        <v>0</v>
      </c>
      <c r="X3">
        <v>0</v>
      </c>
      <c r="Y3">
        <v>45</v>
      </c>
      <c r="Z3">
        <v>30</v>
      </c>
      <c r="AA3">
        <v>25</v>
      </c>
      <c r="AB3">
        <v>25</v>
      </c>
      <c r="AC3">
        <v>30</v>
      </c>
      <c r="AD3">
        <v>0</v>
      </c>
      <c r="AE3">
        <v>0</v>
      </c>
      <c r="AF3">
        <v>0</v>
      </c>
      <c r="AG3">
        <v>0</v>
      </c>
      <c r="AH3">
        <v>30</v>
      </c>
      <c r="AI3">
        <v>3</v>
      </c>
      <c r="AJ3">
        <v>30</v>
      </c>
    </row>
    <row r="4" spans="1:36" x14ac:dyDescent="0.3">
      <c r="A4">
        <v>2</v>
      </c>
      <c r="B4" t="s">
        <v>106</v>
      </c>
      <c r="C4" t="s">
        <v>227</v>
      </c>
      <c r="D4" t="s">
        <v>221</v>
      </c>
      <c r="E4">
        <v>21</v>
      </c>
      <c r="F4" t="s">
        <v>174</v>
      </c>
      <c r="G4" t="s">
        <v>175</v>
      </c>
      <c r="H4">
        <v>12</v>
      </c>
      <c r="I4">
        <v>0</v>
      </c>
      <c r="J4">
        <v>0</v>
      </c>
      <c r="K4">
        <v>0</v>
      </c>
      <c r="L4">
        <v>0</v>
      </c>
      <c r="M4">
        <v>0</v>
      </c>
      <c r="N4">
        <v>0</v>
      </c>
      <c r="O4">
        <v>4</v>
      </c>
      <c r="P4">
        <v>4</v>
      </c>
      <c r="Q4">
        <v>0</v>
      </c>
      <c r="R4">
        <v>0</v>
      </c>
      <c r="S4">
        <v>100</v>
      </c>
      <c r="T4">
        <v>0</v>
      </c>
      <c r="U4">
        <v>0</v>
      </c>
      <c r="V4">
        <v>100</v>
      </c>
      <c r="W4">
        <v>144</v>
      </c>
      <c r="X4">
        <v>0</v>
      </c>
      <c r="Y4">
        <v>0</v>
      </c>
      <c r="Z4">
        <v>0</v>
      </c>
      <c r="AA4">
        <v>0</v>
      </c>
      <c r="AB4">
        <v>0</v>
      </c>
      <c r="AC4">
        <v>0</v>
      </c>
      <c r="AD4">
        <v>0</v>
      </c>
      <c r="AE4">
        <v>0</v>
      </c>
      <c r="AF4">
        <v>0</v>
      </c>
      <c r="AG4">
        <v>0</v>
      </c>
      <c r="AH4">
        <v>50</v>
      </c>
      <c r="AI4">
        <v>0</v>
      </c>
      <c r="AJ4">
        <v>0</v>
      </c>
    </row>
    <row r="5" spans="1:36" x14ac:dyDescent="0.3">
      <c r="A5">
        <v>3</v>
      </c>
      <c r="B5" t="s">
        <v>107</v>
      </c>
      <c r="C5" t="s">
        <v>228</v>
      </c>
      <c r="D5" t="s">
        <v>222</v>
      </c>
      <c r="E5">
        <v>22</v>
      </c>
      <c r="F5" t="s">
        <v>176</v>
      </c>
      <c r="G5" t="s">
        <v>177</v>
      </c>
      <c r="H5">
        <v>8</v>
      </c>
      <c r="I5">
        <v>4</v>
      </c>
      <c r="J5">
        <v>0</v>
      </c>
      <c r="K5">
        <v>0</v>
      </c>
      <c r="L5">
        <v>10</v>
      </c>
      <c r="M5">
        <v>2</v>
      </c>
      <c r="N5">
        <v>0</v>
      </c>
      <c r="O5">
        <v>0</v>
      </c>
      <c r="P5">
        <v>5</v>
      </c>
      <c r="Q5">
        <v>52</v>
      </c>
      <c r="R5">
        <v>0</v>
      </c>
      <c r="S5">
        <v>0</v>
      </c>
      <c r="T5">
        <v>0</v>
      </c>
      <c r="U5">
        <v>0</v>
      </c>
      <c r="V5">
        <v>100</v>
      </c>
      <c r="W5">
        <v>100</v>
      </c>
      <c r="X5">
        <v>0</v>
      </c>
      <c r="Y5">
        <v>25</v>
      </c>
      <c r="Z5">
        <v>15</v>
      </c>
      <c r="AA5">
        <v>10</v>
      </c>
      <c r="AB5">
        <v>10</v>
      </c>
      <c r="AC5">
        <v>15</v>
      </c>
      <c r="AD5">
        <v>0</v>
      </c>
      <c r="AE5">
        <v>0</v>
      </c>
      <c r="AF5">
        <v>0</v>
      </c>
      <c r="AG5">
        <v>0</v>
      </c>
      <c r="AH5">
        <v>50</v>
      </c>
      <c r="AI5">
        <v>0.5</v>
      </c>
      <c r="AJ5">
        <v>10</v>
      </c>
    </row>
    <row r="6" spans="1:36" x14ac:dyDescent="0.3">
      <c r="A6">
        <v>4</v>
      </c>
      <c r="B6" t="s">
        <v>108</v>
      </c>
      <c r="C6" t="s">
        <v>229</v>
      </c>
      <c r="D6" t="s">
        <v>223</v>
      </c>
      <c r="E6">
        <v>17</v>
      </c>
      <c r="F6" t="s">
        <v>178</v>
      </c>
      <c r="G6" t="s">
        <v>179</v>
      </c>
      <c r="H6">
        <v>4</v>
      </c>
      <c r="I6">
        <v>7</v>
      </c>
      <c r="J6">
        <v>12</v>
      </c>
      <c r="K6">
        <v>0</v>
      </c>
      <c r="L6">
        <v>0</v>
      </c>
      <c r="M6">
        <v>2</v>
      </c>
      <c r="N6">
        <v>3</v>
      </c>
      <c r="O6">
        <v>0</v>
      </c>
      <c r="P6">
        <v>0</v>
      </c>
      <c r="Q6">
        <v>77</v>
      </c>
      <c r="R6">
        <v>0</v>
      </c>
      <c r="S6">
        <v>0</v>
      </c>
      <c r="T6">
        <v>0</v>
      </c>
      <c r="U6">
        <v>0</v>
      </c>
      <c r="V6">
        <v>100</v>
      </c>
      <c r="W6">
        <v>0</v>
      </c>
      <c r="X6">
        <v>42</v>
      </c>
      <c r="Y6">
        <v>0</v>
      </c>
      <c r="Z6">
        <v>0</v>
      </c>
      <c r="AA6">
        <v>0</v>
      </c>
      <c r="AB6">
        <v>0</v>
      </c>
      <c r="AC6">
        <v>0</v>
      </c>
      <c r="AD6">
        <v>0</v>
      </c>
      <c r="AE6">
        <v>0</v>
      </c>
      <c r="AF6">
        <v>0</v>
      </c>
      <c r="AG6">
        <v>0</v>
      </c>
      <c r="AH6">
        <v>40</v>
      </c>
      <c r="AI6">
        <v>2</v>
      </c>
      <c r="AJ6">
        <v>0</v>
      </c>
    </row>
    <row r="7" spans="1:36" x14ac:dyDescent="0.3">
      <c r="A7">
        <v>5</v>
      </c>
      <c r="B7" t="s">
        <v>225</v>
      </c>
      <c r="C7" t="s">
        <v>230</v>
      </c>
      <c r="D7" t="s">
        <v>224</v>
      </c>
      <c r="E7">
        <v>25</v>
      </c>
      <c r="F7" t="s">
        <v>174</v>
      </c>
      <c r="G7" t="s">
        <v>192</v>
      </c>
      <c r="H7">
        <v>0</v>
      </c>
      <c r="I7">
        <v>8</v>
      </c>
      <c r="J7">
        <v>0</v>
      </c>
      <c r="K7">
        <v>0</v>
      </c>
      <c r="L7">
        <v>0</v>
      </c>
      <c r="M7">
        <v>3</v>
      </c>
      <c r="N7">
        <v>0</v>
      </c>
      <c r="O7">
        <v>0</v>
      </c>
      <c r="P7">
        <v>0</v>
      </c>
      <c r="Q7">
        <v>76</v>
      </c>
      <c r="R7">
        <v>0</v>
      </c>
      <c r="S7">
        <v>0</v>
      </c>
      <c r="T7">
        <v>0</v>
      </c>
      <c r="U7">
        <v>0</v>
      </c>
      <c r="V7">
        <v>100</v>
      </c>
      <c r="W7">
        <v>0</v>
      </c>
      <c r="X7">
        <v>0</v>
      </c>
      <c r="Y7">
        <v>55</v>
      </c>
      <c r="Z7">
        <v>70</v>
      </c>
      <c r="AA7">
        <v>53</v>
      </c>
      <c r="AB7">
        <v>56</v>
      </c>
      <c r="AC7">
        <v>46</v>
      </c>
      <c r="AD7">
        <v>0</v>
      </c>
      <c r="AE7">
        <v>0</v>
      </c>
      <c r="AF7">
        <v>0</v>
      </c>
      <c r="AG7">
        <v>0</v>
      </c>
      <c r="AH7">
        <v>60</v>
      </c>
      <c r="AI7">
        <v>2</v>
      </c>
      <c r="AJ7">
        <v>45</v>
      </c>
    </row>
    <row r="8" spans="1:36" x14ac:dyDescent="0.3">
      <c r="A8">
        <v>6</v>
      </c>
      <c r="B8" t="s">
        <v>270</v>
      </c>
      <c r="C8" t="s">
        <v>273</v>
      </c>
      <c r="D8" t="s">
        <v>276</v>
      </c>
      <c r="E8">
        <v>8</v>
      </c>
      <c r="F8" t="s">
        <v>358</v>
      </c>
      <c r="G8" t="s">
        <v>359</v>
      </c>
      <c r="H8">
        <v>16</v>
      </c>
      <c r="I8">
        <v>11</v>
      </c>
      <c r="J8">
        <v>10</v>
      </c>
      <c r="K8">
        <v>0</v>
      </c>
      <c r="L8">
        <v>0</v>
      </c>
      <c r="M8">
        <v>3</v>
      </c>
      <c r="N8">
        <v>4</v>
      </c>
      <c r="O8">
        <v>0</v>
      </c>
      <c r="P8">
        <v>0</v>
      </c>
      <c r="Q8">
        <v>104</v>
      </c>
      <c r="R8">
        <v>0</v>
      </c>
      <c r="S8">
        <v>0</v>
      </c>
      <c r="T8">
        <v>0</v>
      </c>
      <c r="U8">
        <v>0</v>
      </c>
      <c r="V8">
        <v>100</v>
      </c>
      <c r="W8">
        <v>0</v>
      </c>
      <c r="X8">
        <v>0</v>
      </c>
      <c r="Y8">
        <v>40</v>
      </c>
      <c r="Z8">
        <v>25</v>
      </c>
      <c r="AA8">
        <v>20</v>
      </c>
      <c r="AB8">
        <v>20</v>
      </c>
      <c r="AC8">
        <v>25</v>
      </c>
      <c r="AD8">
        <v>0</v>
      </c>
      <c r="AE8">
        <v>0</v>
      </c>
      <c r="AF8">
        <v>0</v>
      </c>
      <c r="AG8">
        <v>0</v>
      </c>
      <c r="AH8">
        <v>65</v>
      </c>
      <c r="AI8">
        <v>4.5</v>
      </c>
      <c r="AJ8">
        <v>30</v>
      </c>
    </row>
    <row r="9" spans="1:36" x14ac:dyDescent="0.3">
      <c r="A9">
        <v>7</v>
      </c>
      <c r="B9" t="s">
        <v>271</v>
      </c>
      <c r="C9" t="s">
        <v>274</v>
      </c>
      <c r="D9" t="s">
        <v>277</v>
      </c>
      <c r="E9">
        <v>13</v>
      </c>
      <c r="F9" t="s">
        <v>172</v>
      </c>
      <c r="G9" t="s">
        <v>360</v>
      </c>
      <c r="H9">
        <v>20</v>
      </c>
      <c r="I9">
        <v>12</v>
      </c>
      <c r="J9">
        <v>8</v>
      </c>
      <c r="K9">
        <v>0</v>
      </c>
      <c r="L9">
        <v>0</v>
      </c>
      <c r="M9">
        <v>4</v>
      </c>
      <c r="N9">
        <v>3</v>
      </c>
      <c r="O9">
        <v>0</v>
      </c>
      <c r="P9">
        <v>0</v>
      </c>
      <c r="Q9">
        <v>125</v>
      </c>
      <c r="R9">
        <v>0</v>
      </c>
      <c r="S9">
        <v>0</v>
      </c>
      <c r="T9">
        <v>0</v>
      </c>
      <c r="U9">
        <v>0</v>
      </c>
      <c r="V9">
        <v>100</v>
      </c>
      <c r="W9">
        <v>4</v>
      </c>
      <c r="X9">
        <v>0</v>
      </c>
      <c r="Y9">
        <v>0</v>
      </c>
      <c r="Z9">
        <v>45</v>
      </c>
      <c r="AA9">
        <v>30</v>
      </c>
      <c r="AB9">
        <v>25</v>
      </c>
      <c r="AC9">
        <v>25</v>
      </c>
      <c r="AD9">
        <v>0</v>
      </c>
      <c r="AE9">
        <v>0</v>
      </c>
      <c r="AF9">
        <v>0</v>
      </c>
      <c r="AG9">
        <v>0</v>
      </c>
      <c r="AH9">
        <v>80</v>
      </c>
      <c r="AI9">
        <v>4</v>
      </c>
      <c r="AJ9">
        <v>30</v>
      </c>
    </row>
    <row r="10" spans="1:36" x14ac:dyDescent="0.3">
      <c r="A10">
        <v>8</v>
      </c>
      <c r="B10" t="s">
        <v>272</v>
      </c>
      <c r="C10" t="s">
        <v>275</v>
      </c>
      <c r="D10" t="s">
        <v>278</v>
      </c>
      <c r="E10">
        <v>7</v>
      </c>
      <c r="F10" t="s">
        <v>361</v>
      </c>
      <c r="G10" t="s">
        <v>359</v>
      </c>
      <c r="H10">
        <v>14</v>
      </c>
      <c r="I10">
        <v>10</v>
      </c>
      <c r="J10">
        <v>12</v>
      </c>
      <c r="K10">
        <v>0</v>
      </c>
      <c r="L10">
        <v>0</v>
      </c>
      <c r="M10">
        <v>3</v>
      </c>
      <c r="N10">
        <v>3</v>
      </c>
      <c r="O10">
        <v>0</v>
      </c>
      <c r="P10">
        <v>0</v>
      </c>
      <c r="Q10">
        <v>105</v>
      </c>
      <c r="R10">
        <v>0</v>
      </c>
      <c r="S10">
        <v>0</v>
      </c>
      <c r="T10">
        <v>0</v>
      </c>
      <c r="U10">
        <v>0</v>
      </c>
      <c r="V10">
        <v>100</v>
      </c>
      <c r="W10">
        <v>0</v>
      </c>
      <c r="X10">
        <v>0</v>
      </c>
      <c r="Y10">
        <v>45</v>
      </c>
      <c r="Z10">
        <v>25</v>
      </c>
      <c r="AA10">
        <v>20</v>
      </c>
      <c r="AB10">
        <v>20</v>
      </c>
      <c r="AC10">
        <v>25</v>
      </c>
      <c r="AD10">
        <v>0</v>
      </c>
      <c r="AE10">
        <v>0</v>
      </c>
      <c r="AF10">
        <v>0</v>
      </c>
      <c r="AG10">
        <v>0</v>
      </c>
      <c r="AH10">
        <v>60</v>
      </c>
      <c r="AI10">
        <v>3.5</v>
      </c>
      <c r="AJ10">
        <v>20</v>
      </c>
    </row>
  </sheetData>
  <phoneticPr fontId="1"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6A5D-E249-4623-BB8A-D80E07A78BE0}">
  <sheetPr codeName="Sheet2"/>
  <dimension ref="A1:I4"/>
  <sheetViews>
    <sheetView workbookViewId="0">
      <selection activeCell="D3" sqref="D3"/>
    </sheetView>
  </sheetViews>
  <sheetFormatPr defaultRowHeight="16.5" x14ac:dyDescent="0.3"/>
  <cols>
    <col min="3" max="3" width="50.25" bestFit="1" customWidth="1"/>
    <col min="5" max="5" width="10.375" bestFit="1" customWidth="1"/>
    <col min="8" max="8" width="23.25" bestFit="1" customWidth="1"/>
    <col min="9" max="9" width="18" bestFit="1" customWidth="1"/>
  </cols>
  <sheetData>
    <row r="1" spans="1:9" x14ac:dyDescent="0.3">
      <c r="A1" t="s">
        <v>17</v>
      </c>
      <c r="B1" t="s">
        <v>23</v>
      </c>
      <c r="C1" t="s">
        <v>231</v>
      </c>
      <c r="D1" t="s">
        <v>185</v>
      </c>
      <c r="E1" t="s">
        <v>180</v>
      </c>
      <c r="F1" t="s">
        <v>181</v>
      </c>
      <c r="G1" t="s">
        <v>182</v>
      </c>
      <c r="H1" t="s">
        <v>184</v>
      </c>
      <c r="I1" t="s">
        <v>183</v>
      </c>
    </row>
    <row r="2" spans="1:9" x14ac:dyDescent="0.3">
      <c r="A2" t="s">
        <v>16</v>
      </c>
      <c r="B2" t="s">
        <v>18</v>
      </c>
      <c r="C2" t="s">
        <v>83</v>
      </c>
      <c r="D2" t="s">
        <v>68</v>
      </c>
      <c r="E2" t="s">
        <v>186</v>
      </c>
      <c r="F2" t="s">
        <v>187</v>
      </c>
      <c r="G2" t="s">
        <v>188</v>
      </c>
      <c r="H2" t="s">
        <v>189</v>
      </c>
      <c r="I2" t="s">
        <v>190</v>
      </c>
    </row>
    <row r="3" spans="1:9" x14ac:dyDescent="0.3">
      <c r="A3">
        <v>101</v>
      </c>
      <c r="B3" t="s">
        <v>191</v>
      </c>
      <c r="C3" t="s">
        <v>232</v>
      </c>
      <c r="D3" t="s">
        <v>267</v>
      </c>
      <c r="E3">
        <v>1</v>
      </c>
      <c r="F3">
        <v>45</v>
      </c>
      <c r="G3">
        <v>1</v>
      </c>
      <c r="H3">
        <v>0</v>
      </c>
      <c r="I3">
        <v>12</v>
      </c>
    </row>
    <row r="4" spans="1:9" x14ac:dyDescent="0.3">
      <c r="A4">
        <v>102</v>
      </c>
      <c r="B4" t="s">
        <v>233</v>
      </c>
      <c r="C4" t="s">
        <v>234</v>
      </c>
      <c r="D4" t="s">
        <v>268</v>
      </c>
      <c r="E4">
        <v>3</v>
      </c>
      <c r="F4">
        <v>10</v>
      </c>
      <c r="G4">
        <v>1</v>
      </c>
      <c r="H4">
        <v>6</v>
      </c>
      <c r="I4">
        <v>6</v>
      </c>
    </row>
  </sheetData>
  <phoneticPr fontId="1"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ECFED-5AF5-4048-9A60-146D7456139E}">
  <sheetPr codeName="Sheet16"/>
  <dimension ref="A1:S24"/>
  <sheetViews>
    <sheetView workbookViewId="0">
      <selection activeCell="A3" sqref="A3:A10"/>
    </sheetView>
  </sheetViews>
  <sheetFormatPr defaultRowHeight="16.5" x14ac:dyDescent="0.3"/>
  <cols>
    <col min="2" max="2" width="18.125" bestFit="1" customWidth="1"/>
    <col min="3" max="3" width="43" bestFit="1" customWidth="1"/>
    <col min="4" max="4" width="9.5" bestFit="1" customWidth="1"/>
    <col min="5" max="5" width="24.625" bestFit="1" customWidth="1"/>
    <col min="6" max="6" width="27.5" bestFit="1" customWidth="1"/>
    <col min="7" max="7" width="27" bestFit="1" customWidth="1"/>
    <col min="8" max="9" width="25.5" bestFit="1" customWidth="1"/>
    <col min="10" max="10" width="23" bestFit="1" customWidth="1"/>
    <col min="11" max="11" width="28.75" bestFit="1" customWidth="1"/>
    <col min="12" max="12" width="24.125" bestFit="1" customWidth="1"/>
    <col min="13" max="13" width="16.375" bestFit="1" customWidth="1"/>
    <col min="14" max="14" width="17.5" bestFit="1" customWidth="1"/>
    <col min="15" max="15" width="15.5" bestFit="1" customWidth="1"/>
    <col min="16" max="16" width="16.375" bestFit="1" customWidth="1"/>
    <col min="17" max="17" width="16.125" bestFit="1" customWidth="1"/>
    <col min="18" max="18" width="9.75" bestFit="1" customWidth="1"/>
    <col min="19" max="19" width="7.625" bestFit="1" customWidth="1"/>
  </cols>
  <sheetData>
    <row r="1" spans="1:19" x14ac:dyDescent="0.3">
      <c r="A1" t="s">
        <v>17</v>
      </c>
      <c r="B1" t="s">
        <v>23</v>
      </c>
      <c r="C1" t="s">
        <v>216</v>
      </c>
      <c r="D1" t="s">
        <v>43</v>
      </c>
      <c r="E1" t="s">
        <v>193</v>
      </c>
      <c r="F1" t="s">
        <v>195</v>
      </c>
      <c r="G1" t="s">
        <v>194</v>
      </c>
      <c r="H1" t="s">
        <v>196</v>
      </c>
      <c r="I1" t="s">
        <v>122</v>
      </c>
      <c r="J1" t="s">
        <v>123</v>
      </c>
      <c r="K1" t="s">
        <v>124</v>
      </c>
      <c r="L1" t="s">
        <v>125</v>
      </c>
      <c r="M1" t="s">
        <v>197</v>
      </c>
      <c r="N1" t="s">
        <v>198</v>
      </c>
      <c r="O1" t="s">
        <v>199</v>
      </c>
      <c r="P1" t="s">
        <v>200</v>
      </c>
      <c r="Q1" t="s">
        <v>201</v>
      </c>
      <c r="R1" t="s">
        <v>130</v>
      </c>
      <c r="S1" t="s">
        <v>131</v>
      </c>
    </row>
    <row r="2" spans="1:19" x14ac:dyDescent="0.3">
      <c r="A2" t="s">
        <v>16</v>
      </c>
      <c r="B2" t="s">
        <v>18</v>
      </c>
      <c r="C2" t="s">
        <v>217</v>
      </c>
      <c r="D2" t="s">
        <v>29</v>
      </c>
      <c r="E2" t="s">
        <v>203</v>
      </c>
      <c r="F2" t="s">
        <v>204</v>
      </c>
      <c r="G2" t="s">
        <v>205</v>
      </c>
      <c r="H2" t="s">
        <v>206</v>
      </c>
      <c r="I2" t="s">
        <v>207</v>
      </c>
      <c r="J2" t="s">
        <v>208</v>
      </c>
      <c r="K2" t="s">
        <v>209</v>
      </c>
      <c r="L2" t="s">
        <v>210</v>
      </c>
      <c r="M2" t="s">
        <v>211</v>
      </c>
      <c r="N2" t="s">
        <v>212</v>
      </c>
      <c r="O2" t="s">
        <v>213</v>
      </c>
      <c r="P2" t="s">
        <v>214</v>
      </c>
      <c r="Q2" t="s">
        <v>215</v>
      </c>
      <c r="R2" t="s">
        <v>165</v>
      </c>
      <c r="S2" t="s">
        <v>171</v>
      </c>
    </row>
    <row r="3" spans="1:19" x14ac:dyDescent="0.3">
      <c r="A3">
        <v>1001</v>
      </c>
      <c r="B3" t="s">
        <v>202</v>
      </c>
      <c r="C3" t="str">
        <f>_xlfn.CONCAT($C$24, B3)</f>
        <v>Art/Textures/UI/high res icons/03_armor/Knight Helm</v>
      </c>
      <c r="D3">
        <v>1</v>
      </c>
      <c r="E3">
        <v>4.5</v>
      </c>
      <c r="F3">
        <v>3.7</v>
      </c>
      <c r="G3">
        <v>4.3</v>
      </c>
      <c r="H3">
        <v>4.2</v>
      </c>
      <c r="I3">
        <v>3.7</v>
      </c>
      <c r="J3">
        <v>4.0999999999999996</v>
      </c>
      <c r="K3">
        <v>3.1</v>
      </c>
      <c r="L3">
        <v>3.5</v>
      </c>
      <c r="M3">
        <v>24</v>
      </c>
      <c r="N3">
        <v>15</v>
      </c>
      <c r="O3">
        <v>15</v>
      </c>
      <c r="P3">
        <v>9</v>
      </c>
      <c r="Q3">
        <v>4</v>
      </c>
      <c r="R3">
        <v>380</v>
      </c>
      <c r="S3">
        <v>5.2</v>
      </c>
    </row>
    <row r="4" spans="1:19" x14ac:dyDescent="0.3">
      <c r="A4">
        <v>1002</v>
      </c>
      <c r="B4" t="s">
        <v>340</v>
      </c>
      <c r="C4" t="str">
        <f t="shared" ref="C4:C22" si="0">_xlfn.CONCAT($C$24, B4)</f>
        <v>Art/Textures/UI/high res icons/03_armor/Knight Torso</v>
      </c>
      <c r="D4">
        <v>2</v>
      </c>
      <c r="E4">
        <v>12.1</v>
      </c>
      <c r="F4">
        <v>9.1999999999999993</v>
      </c>
      <c r="G4">
        <v>12.1</v>
      </c>
      <c r="H4">
        <v>11.1</v>
      </c>
      <c r="I4">
        <v>9.1999999999999993</v>
      </c>
      <c r="J4">
        <v>106</v>
      </c>
      <c r="K4">
        <v>6.8</v>
      </c>
      <c r="L4">
        <v>8.5</v>
      </c>
      <c r="M4">
        <v>46</v>
      </c>
      <c r="N4">
        <v>32</v>
      </c>
      <c r="O4">
        <v>33</v>
      </c>
      <c r="P4">
        <v>18</v>
      </c>
      <c r="Q4">
        <v>8.8000000000000007</v>
      </c>
      <c r="R4">
        <v>350</v>
      </c>
      <c r="S4">
        <v>8.9</v>
      </c>
    </row>
    <row r="5" spans="1:19" x14ac:dyDescent="0.3">
      <c r="A5">
        <v>1003</v>
      </c>
      <c r="B5" t="s">
        <v>235</v>
      </c>
      <c r="C5" t="str">
        <f t="shared" si="0"/>
        <v>Art/Textures/UI/high res icons/03_armor/Knight Gauntlets</v>
      </c>
      <c r="D5">
        <v>3</v>
      </c>
      <c r="E5">
        <v>3.4</v>
      </c>
      <c r="F5">
        <v>2.8</v>
      </c>
      <c r="G5">
        <v>3.4</v>
      </c>
      <c r="H5">
        <v>3.4</v>
      </c>
      <c r="I5">
        <v>2.6</v>
      </c>
      <c r="J5">
        <v>3</v>
      </c>
      <c r="K5">
        <v>2</v>
      </c>
      <c r="L5">
        <v>2.4</v>
      </c>
      <c r="M5">
        <v>18</v>
      </c>
      <c r="N5">
        <v>13</v>
      </c>
      <c r="O5">
        <v>14</v>
      </c>
      <c r="P5">
        <v>9</v>
      </c>
      <c r="Q5">
        <v>2.2999999999999998</v>
      </c>
      <c r="R5">
        <v>350</v>
      </c>
      <c r="S5">
        <v>3.4</v>
      </c>
    </row>
    <row r="6" spans="1:19" x14ac:dyDescent="0.3">
      <c r="A6">
        <v>1004</v>
      </c>
      <c r="B6" t="s">
        <v>236</v>
      </c>
      <c r="C6" t="str">
        <f t="shared" si="0"/>
        <v>Art/Textures/UI/high res icons/03_armor/Knight Leggings</v>
      </c>
      <c r="D6">
        <v>4</v>
      </c>
      <c r="E6">
        <v>7.8</v>
      </c>
      <c r="F6">
        <v>6.5</v>
      </c>
      <c r="G6">
        <v>7.6</v>
      </c>
      <c r="H6">
        <v>7.4</v>
      </c>
      <c r="I6">
        <v>6.5</v>
      </c>
      <c r="J6">
        <v>7.1</v>
      </c>
      <c r="K6">
        <v>5.3</v>
      </c>
      <c r="L6">
        <v>6.1</v>
      </c>
      <c r="M6">
        <v>38</v>
      </c>
      <c r="N6">
        <v>25</v>
      </c>
      <c r="O6">
        <v>26</v>
      </c>
      <c r="P6">
        <v>16</v>
      </c>
      <c r="Q6">
        <v>7</v>
      </c>
      <c r="R6">
        <v>370</v>
      </c>
      <c r="S6">
        <v>6.8</v>
      </c>
    </row>
    <row r="7" spans="1:19" x14ac:dyDescent="0.3">
      <c r="A7">
        <v>1005</v>
      </c>
      <c r="B7" t="s">
        <v>342</v>
      </c>
      <c r="C7" t="str">
        <f t="shared" si="0"/>
        <v>Art/Textures/UI/high res icons/03_armor/Assassin Helm</v>
      </c>
      <c r="D7">
        <v>1</v>
      </c>
      <c r="E7">
        <v>1.7</v>
      </c>
      <c r="F7">
        <v>2.7</v>
      </c>
      <c r="G7">
        <v>1.9</v>
      </c>
      <c r="H7">
        <v>2.2000000000000002</v>
      </c>
      <c r="I7">
        <v>3.3</v>
      </c>
      <c r="J7">
        <v>4.3</v>
      </c>
      <c r="K7">
        <v>3.3</v>
      </c>
      <c r="L7">
        <v>2.5</v>
      </c>
      <c r="M7">
        <v>17</v>
      </c>
      <c r="N7">
        <v>27</v>
      </c>
      <c r="O7">
        <v>20</v>
      </c>
      <c r="P7">
        <v>20</v>
      </c>
      <c r="Q7">
        <v>1</v>
      </c>
      <c r="R7">
        <v>220</v>
      </c>
      <c r="S7">
        <v>1.8</v>
      </c>
    </row>
    <row r="8" spans="1:19" x14ac:dyDescent="0.3">
      <c r="A8">
        <v>1006</v>
      </c>
      <c r="B8" t="s">
        <v>343</v>
      </c>
      <c r="C8" t="str">
        <f t="shared" si="0"/>
        <v>Art/Textures/UI/high res icons/03_armor/Assassin Torso</v>
      </c>
      <c r="D8">
        <v>2</v>
      </c>
      <c r="E8">
        <v>8.6</v>
      </c>
      <c r="F8">
        <v>10</v>
      </c>
      <c r="G8">
        <v>8.6</v>
      </c>
      <c r="H8">
        <v>9.3000000000000007</v>
      </c>
      <c r="I8">
        <v>10.4</v>
      </c>
      <c r="J8">
        <v>11.4</v>
      </c>
      <c r="K8">
        <v>10.4</v>
      </c>
      <c r="L8">
        <v>9</v>
      </c>
      <c r="M8">
        <v>40</v>
      </c>
      <c r="N8">
        <v>62</v>
      </c>
      <c r="O8">
        <v>47</v>
      </c>
      <c r="P8">
        <v>52</v>
      </c>
      <c r="Q8">
        <v>4.8</v>
      </c>
      <c r="R8">
        <v>270</v>
      </c>
      <c r="S8">
        <v>6.9</v>
      </c>
    </row>
    <row r="9" spans="1:19" x14ac:dyDescent="0.3">
      <c r="A9">
        <v>1007</v>
      </c>
      <c r="B9" t="s">
        <v>344</v>
      </c>
      <c r="C9" t="str">
        <f t="shared" si="0"/>
        <v>Art/Textures/UI/high res icons/03_armor/Assassin Gauntlets</v>
      </c>
      <c r="D9">
        <v>3</v>
      </c>
      <c r="E9">
        <v>2</v>
      </c>
      <c r="F9">
        <v>1.2</v>
      </c>
      <c r="G9">
        <v>2.2999999999999998</v>
      </c>
      <c r="H9">
        <v>1.8</v>
      </c>
      <c r="I9">
        <v>2.6</v>
      </c>
      <c r="J9">
        <v>2.7</v>
      </c>
      <c r="K9">
        <v>1.9</v>
      </c>
      <c r="L9">
        <v>1.5</v>
      </c>
      <c r="M9">
        <v>12</v>
      </c>
      <c r="N9">
        <v>20</v>
      </c>
      <c r="O9">
        <v>13</v>
      </c>
      <c r="P9">
        <v>16</v>
      </c>
      <c r="Q9">
        <v>0.4</v>
      </c>
      <c r="R9">
        <v>260</v>
      </c>
      <c r="S9">
        <v>2</v>
      </c>
    </row>
    <row r="10" spans="1:19" x14ac:dyDescent="0.3">
      <c r="A10">
        <v>1008</v>
      </c>
      <c r="B10" t="s">
        <v>345</v>
      </c>
      <c r="C10" t="str">
        <f t="shared" si="0"/>
        <v>Art/Textures/UI/high res icons/03_armor/Assassin Leggings</v>
      </c>
      <c r="D10">
        <v>4</v>
      </c>
      <c r="E10">
        <v>5.2</v>
      </c>
      <c r="F10">
        <v>3.8</v>
      </c>
      <c r="G10">
        <v>6</v>
      </c>
      <c r="H10">
        <v>4.8</v>
      </c>
      <c r="I10">
        <v>6.6</v>
      </c>
      <c r="J10">
        <v>6.9</v>
      </c>
      <c r="K10">
        <v>5.2</v>
      </c>
      <c r="L10">
        <v>4.3</v>
      </c>
      <c r="M10">
        <v>29</v>
      </c>
      <c r="N10">
        <v>43</v>
      </c>
      <c r="O10">
        <v>32</v>
      </c>
      <c r="P10">
        <v>38</v>
      </c>
      <c r="Q10">
        <v>2.1</v>
      </c>
      <c r="R10">
        <v>270</v>
      </c>
      <c r="S10">
        <v>4.3</v>
      </c>
    </row>
    <row r="11" spans="1:19" x14ac:dyDescent="0.3">
      <c r="A11">
        <v>1009</v>
      </c>
      <c r="B11" t="s">
        <v>346</v>
      </c>
      <c r="C11" t="str">
        <f t="shared" si="0"/>
        <v>Art/Textures/UI/high res icons/03_armor/Herald Helm</v>
      </c>
      <c r="D11">
        <v>1</v>
      </c>
      <c r="E11">
        <v>4.2</v>
      </c>
      <c r="F11">
        <v>2.5</v>
      </c>
      <c r="G11">
        <v>4.2</v>
      </c>
      <c r="H11">
        <v>4</v>
      </c>
      <c r="I11">
        <v>3.5</v>
      </c>
      <c r="J11">
        <v>3.2</v>
      </c>
      <c r="K11">
        <v>1.6</v>
      </c>
      <c r="L11">
        <v>3.2</v>
      </c>
      <c r="M11">
        <v>24</v>
      </c>
      <c r="N11">
        <v>14</v>
      </c>
      <c r="O11">
        <v>17</v>
      </c>
      <c r="P11">
        <v>10</v>
      </c>
      <c r="Q11">
        <v>3.4</v>
      </c>
      <c r="R11">
        <v>350</v>
      </c>
      <c r="S11">
        <v>3.7</v>
      </c>
    </row>
    <row r="12" spans="1:19" x14ac:dyDescent="0.3">
      <c r="A12">
        <v>1010</v>
      </c>
      <c r="B12" t="s">
        <v>347</v>
      </c>
      <c r="C12" t="str">
        <f t="shared" si="0"/>
        <v>Art/Textures/UI/high res icons/03_armor/Herald Torso</v>
      </c>
      <c r="D12">
        <v>2</v>
      </c>
      <c r="E12">
        <v>12.4</v>
      </c>
      <c r="F12">
        <v>8</v>
      </c>
      <c r="G12">
        <v>12.6</v>
      </c>
      <c r="H12">
        <v>11.9</v>
      </c>
      <c r="I12">
        <v>9.1999999999999993</v>
      </c>
      <c r="J12">
        <v>8.4</v>
      </c>
      <c r="K12">
        <v>3.8</v>
      </c>
      <c r="L12">
        <v>8.4</v>
      </c>
      <c r="M12">
        <v>52</v>
      </c>
      <c r="N12">
        <v>30</v>
      </c>
      <c r="O12">
        <v>36</v>
      </c>
      <c r="P12">
        <v>19</v>
      </c>
      <c r="Q12">
        <v>9.5</v>
      </c>
      <c r="R12">
        <v>350</v>
      </c>
      <c r="S12">
        <v>8.6</v>
      </c>
    </row>
    <row r="13" spans="1:19" x14ac:dyDescent="0.3">
      <c r="A13">
        <v>1011</v>
      </c>
      <c r="B13" t="s">
        <v>348</v>
      </c>
      <c r="C13" t="str">
        <f t="shared" si="0"/>
        <v>Art/Textures/UI/high res icons/03_armor/Herald Gauntlets</v>
      </c>
      <c r="D13">
        <v>3</v>
      </c>
      <c r="E13">
        <v>3.1</v>
      </c>
      <c r="F13">
        <v>2.1</v>
      </c>
      <c r="G13">
        <v>3.1</v>
      </c>
      <c r="H13">
        <v>2.9</v>
      </c>
      <c r="I13">
        <v>1.7</v>
      </c>
      <c r="J13">
        <v>2.1</v>
      </c>
      <c r="K13">
        <v>0.7</v>
      </c>
      <c r="L13">
        <v>1.5</v>
      </c>
      <c r="M13">
        <v>16</v>
      </c>
      <c r="N13">
        <v>12</v>
      </c>
      <c r="O13">
        <v>12</v>
      </c>
      <c r="P13">
        <v>8</v>
      </c>
      <c r="Q13">
        <v>1.6</v>
      </c>
      <c r="R13">
        <v>350</v>
      </c>
      <c r="S13">
        <v>2.9</v>
      </c>
    </row>
    <row r="14" spans="1:19" x14ac:dyDescent="0.3">
      <c r="A14">
        <v>1012</v>
      </c>
      <c r="B14" t="s">
        <v>349</v>
      </c>
      <c r="C14" t="str">
        <f t="shared" si="0"/>
        <v>Art/Textures/UI/high res icons/03_armor/Herald Leggings</v>
      </c>
      <c r="D14">
        <v>4</v>
      </c>
      <c r="E14">
        <v>7.1</v>
      </c>
      <c r="F14">
        <v>6.5</v>
      </c>
      <c r="G14">
        <v>6.8</v>
      </c>
      <c r="H14">
        <v>6.5</v>
      </c>
      <c r="I14">
        <v>4.5999999999999996</v>
      </c>
      <c r="J14">
        <v>4.5999999999999996</v>
      </c>
      <c r="K14">
        <v>1.8</v>
      </c>
      <c r="L14">
        <v>4.0999999999999996</v>
      </c>
      <c r="M14">
        <v>26</v>
      </c>
      <c r="N14">
        <v>20</v>
      </c>
      <c r="O14">
        <v>20</v>
      </c>
      <c r="P14">
        <v>11</v>
      </c>
      <c r="Q14">
        <v>5.0999999999999996</v>
      </c>
      <c r="R14">
        <v>350</v>
      </c>
      <c r="S14">
        <v>5.3</v>
      </c>
    </row>
    <row r="15" spans="1:19" x14ac:dyDescent="0.3">
      <c r="A15">
        <v>1013</v>
      </c>
      <c r="B15" t="s">
        <v>350</v>
      </c>
      <c r="C15" t="str">
        <f t="shared" si="0"/>
        <v>Art/Textures/UI/high res icons/03_armor/Pyromancer Helm</v>
      </c>
      <c r="D15">
        <v>1</v>
      </c>
      <c r="E15">
        <v>0.5</v>
      </c>
      <c r="F15">
        <v>0.5</v>
      </c>
      <c r="G15">
        <v>0.9</v>
      </c>
      <c r="H15">
        <v>0.5</v>
      </c>
      <c r="I15">
        <v>4.2</v>
      </c>
      <c r="J15">
        <v>4.8</v>
      </c>
      <c r="K15">
        <v>3.6</v>
      </c>
      <c r="L15">
        <v>4</v>
      </c>
      <c r="M15">
        <v>9</v>
      </c>
      <c r="N15">
        <v>14</v>
      </c>
      <c r="O15">
        <v>15</v>
      </c>
      <c r="P15">
        <v>21</v>
      </c>
      <c r="Q15">
        <v>0</v>
      </c>
      <c r="R15">
        <v>200</v>
      </c>
      <c r="S15">
        <v>1.1000000000000001</v>
      </c>
    </row>
    <row r="16" spans="1:19" x14ac:dyDescent="0.3">
      <c r="A16">
        <v>1014</v>
      </c>
      <c r="B16" t="s">
        <v>351</v>
      </c>
      <c r="C16" t="str">
        <f t="shared" si="0"/>
        <v>Art/Textures/UI/high res icons/03_armor/Pyromancer Torso</v>
      </c>
      <c r="D16">
        <v>2</v>
      </c>
      <c r="E16">
        <v>4.5</v>
      </c>
      <c r="F16">
        <v>3.5</v>
      </c>
      <c r="G16">
        <v>3.9</v>
      </c>
      <c r="H16">
        <v>3.5</v>
      </c>
      <c r="I16">
        <v>12</v>
      </c>
      <c r="J16">
        <v>13.1</v>
      </c>
      <c r="K16">
        <v>21</v>
      </c>
      <c r="L16">
        <v>14.1</v>
      </c>
      <c r="M16">
        <v>22</v>
      </c>
      <c r="N16">
        <v>50</v>
      </c>
      <c r="O16">
        <v>43</v>
      </c>
      <c r="P16">
        <v>74</v>
      </c>
      <c r="Q16">
        <v>0.9</v>
      </c>
      <c r="R16">
        <v>230</v>
      </c>
      <c r="S16">
        <v>4.2</v>
      </c>
    </row>
    <row r="17" spans="1:19" x14ac:dyDescent="0.3">
      <c r="A17">
        <v>1015</v>
      </c>
      <c r="B17" t="s">
        <v>352</v>
      </c>
      <c r="C17" t="str">
        <f t="shared" si="0"/>
        <v>Art/Textures/UI/high res icons/03_armor/Pyromancer Gauntlets</v>
      </c>
      <c r="D17">
        <v>3</v>
      </c>
      <c r="E17">
        <v>1.5</v>
      </c>
      <c r="F17">
        <v>1.5</v>
      </c>
      <c r="G17">
        <v>0.9</v>
      </c>
      <c r="H17">
        <v>1.3</v>
      </c>
      <c r="I17">
        <v>3.5</v>
      </c>
      <c r="J17">
        <v>3.6</v>
      </c>
      <c r="K17">
        <v>3.5</v>
      </c>
      <c r="L17">
        <v>3.6</v>
      </c>
      <c r="M17">
        <v>6</v>
      </c>
      <c r="N17">
        <v>14</v>
      </c>
      <c r="O17">
        <v>11</v>
      </c>
      <c r="P17">
        <v>22</v>
      </c>
      <c r="Q17">
        <v>0.8</v>
      </c>
      <c r="R17">
        <v>230</v>
      </c>
      <c r="S17">
        <v>1.5</v>
      </c>
    </row>
    <row r="18" spans="1:19" x14ac:dyDescent="0.3">
      <c r="A18">
        <v>1016</v>
      </c>
      <c r="B18" t="s">
        <v>353</v>
      </c>
      <c r="C18" t="str">
        <f t="shared" si="0"/>
        <v>Art/Textures/UI/high res icons/03_armor/Pyromancer Leggings</v>
      </c>
      <c r="D18">
        <v>4</v>
      </c>
      <c r="E18">
        <v>3</v>
      </c>
      <c r="F18">
        <v>2.6</v>
      </c>
      <c r="G18">
        <v>2.2000000000000002</v>
      </c>
      <c r="H18">
        <v>2.6</v>
      </c>
      <c r="I18">
        <v>7.5</v>
      </c>
      <c r="J18">
        <v>8.1</v>
      </c>
      <c r="K18">
        <v>7.5</v>
      </c>
      <c r="L18">
        <v>7.8</v>
      </c>
      <c r="M18">
        <v>14</v>
      </c>
      <c r="N18">
        <v>43</v>
      </c>
      <c r="O18">
        <v>26</v>
      </c>
      <c r="P18">
        <v>47</v>
      </c>
      <c r="Q18">
        <v>1.2</v>
      </c>
      <c r="R18">
        <v>230</v>
      </c>
      <c r="S18">
        <v>2.6</v>
      </c>
    </row>
    <row r="19" spans="1:19" x14ac:dyDescent="0.3">
      <c r="A19">
        <v>1017</v>
      </c>
      <c r="B19" t="s">
        <v>354</v>
      </c>
      <c r="C19" t="str">
        <f t="shared" si="0"/>
        <v>Art/Textures/UI/high res icons/03_armor/Warrior Helm</v>
      </c>
      <c r="D19">
        <v>1</v>
      </c>
      <c r="E19">
        <v>4.8</v>
      </c>
      <c r="F19">
        <v>4.7</v>
      </c>
      <c r="G19">
        <v>4.5999999999999996</v>
      </c>
      <c r="H19">
        <v>4.4000000000000004</v>
      </c>
      <c r="I19">
        <v>2.9</v>
      </c>
      <c r="J19">
        <v>4.2</v>
      </c>
      <c r="K19">
        <v>1.8</v>
      </c>
      <c r="L19">
        <v>2.6</v>
      </c>
      <c r="M19">
        <v>24</v>
      </c>
      <c r="N19">
        <v>15</v>
      </c>
      <c r="O19">
        <v>26</v>
      </c>
      <c r="P19">
        <v>10</v>
      </c>
      <c r="Q19">
        <v>4</v>
      </c>
      <c r="R19">
        <v>370</v>
      </c>
      <c r="S19">
        <v>4.8</v>
      </c>
    </row>
    <row r="20" spans="1:19" x14ac:dyDescent="0.3">
      <c r="A20">
        <v>1018</v>
      </c>
      <c r="B20" t="s">
        <v>355</v>
      </c>
      <c r="C20" t="str">
        <f t="shared" si="0"/>
        <v>Art/Textures/UI/high res icons/03_armor/Warrior Torso</v>
      </c>
      <c r="D20">
        <v>2</v>
      </c>
      <c r="E20">
        <v>12.6</v>
      </c>
      <c r="F20">
        <v>12.6</v>
      </c>
      <c r="G20">
        <v>12.1</v>
      </c>
      <c r="H20">
        <v>11.6</v>
      </c>
      <c r="I20">
        <v>7.7</v>
      </c>
      <c r="J20">
        <v>11.1</v>
      </c>
      <c r="K20">
        <v>4.4000000000000004</v>
      </c>
      <c r="L20">
        <v>6.8</v>
      </c>
      <c r="M20">
        <v>60</v>
      </c>
      <c r="N20">
        <v>38</v>
      </c>
      <c r="O20">
        <v>64</v>
      </c>
      <c r="P20">
        <v>27</v>
      </c>
      <c r="Q20">
        <v>10.7</v>
      </c>
      <c r="R20">
        <v>370</v>
      </c>
      <c r="S20">
        <v>10.6</v>
      </c>
    </row>
    <row r="21" spans="1:19" x14ac:dyDescent="0.3">
      <c r="A21">
        <v>1019</v>
      </c>
      <c r="B21" t="s">
        <v>356</v>
      </c>
      <c r="C21" t="str">
        <f t="shared" si="0"/>
        <v>Art/Textures/UI/high res icons/03_armor/Warrior Gauntlets</v>
      </c>
      <c r="D21">
        <v>3</v>
      </c>
      <c r="E21">
        <v>2.2000000000000002</v>
      </c>
      <c r="F21">
        <v>2.9</v>
      </c>
      <c r="G21">
        <v>2.2000000000000002</v>
      </c>
      <c r="H21">
        <v>2.2000000000000002</v>
      </c>
      <c r="I21">
        <v>0.8</v>
      </c>
      <c r="J21">
        <v>2.5</v>
      </c>
      <c r="K21">
        <v>2</v>
      </c>
      <c r="L21">
        <v>0.8</v>
      </c>
      <c r="M21">
        <v>15</v>
      </c>
      <c r="N21">
        <v>19</v>
      </c>
      <c r="O21">
        <v>24</v>
      </c>
      <c r="P21">
        <v>19</v>
      </c>
      <c r="Q21">
        <v>0.7</v>
      </c>
      <c r="R21">
        <v>270</v>
      </c>
      <c r="S21">
        <v>2.2999999999999998</v>
      </c>
    </row>
    <row r="22" spans="1:19" x14ac:dyDescent="0.3">
      <c r="A22">
        <v>1020</v>
      </c>
      <c r="B22" t="s">
        <v>357</v>
      </c>
      <c r="C22" t="str">
        <f t="shared" si="0"/>
        <v>Art/Textures/UI/high res icons/03_armor/Warrior Leggings</v>
      </c>
      <c r="D22">
        <v>4</v>
      </c>
      <c r="E22">
        <v>6.1</v>
      </c>
      <c r="F22">
        <v>7.6</v>
      </c>
      <c r="G22">
        <v>6.1</v>
      </c>
      <c r="H22">
        <v>6.1</v>
      </c>
      <c r="I22">
        <v>2.9</v>
      </c>
      <c r="J22">
        <v>6.8</v>
      </c>
      <c r="K22">
        <v>5.7</v>
      </c>
      <c r="L22">
        <v>2.9</v>
      </c>
      <c r="M22">
        <v>24</v>
      </c>
      <c r="N22">
        <v>32</v>
      </c>
      <c r="O22">
        <v>42</v>
      </c>
      <c r="P22">
        <v>32</v>
      </c>
      <c r="Q22">
        <v>3.1</v>
      </c>
      <c r="R22">
        <v>270</v>
      </c>
      <c r="S22">
        <v>4.3</v>
      </c>
    </row>
    <row r="24" spans="1:19" x14ac:dyDescent="0.3">
      <c r="C24" t="s">
        <v>341</v>
      </c>
    </row>
  </sheetData>
  <phoneticPr fontId="1"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M6"/>
  <sheetViews>
    <sheetView tabSelected="1" workbookViewId="0">
      <selection activeCell="E16" sqref="E16"/>
    </sheetView>
  </sheetViews>
  <sheetFormatPr defaultRowHeight="16.5" x14ac:dyDescent="0.3"/>
  <cols>
    <col min="2" max="2" width="18.375" bestFit="1" customWidth="1"/>
    <col min="3" max="3" width="55" bestFit="1" customWidth="1"/>
    <col min="4" max="4" width="29.125" bestFit="1" customWidth="1"/>
    <col min="5" max="5" width="29.125" customWidth="1"/>
    <col min="6" max="6" width="11.75" bestFit="1" customWidth="1"/>
    <col min="7" max="8" width="11.625" bestFit="1" customWidth="1"/>
    <col min="9" max="9" width="34.625" customWidth="1"/>
    <col min="10" max="13" width="16" bestFit="1" customWidth="1"/>
    <col min="14" max="14" width="31.625" bestFit="1" customWidth="1"/>
  </cols>
  <sheetData>
    <row r="1" spans="1:13" x14ac:dyDescent="0.3">
      <c r="A1" t="s">
        <v>24</v>
      </c>
      <c r="B1" t="s">
        <v>25</v>
      </c>
      <c r="C1" t="s">
        <v>80</v>
      </c>
      <c r="D1" t="s">
        <v>81</v>
      </c>
      <c r="E1" t="s">
        <v>265</v>
      </c>
      <c r="F1" t="s">
        <v>76</v>
      </c>
      <c r="G1" t="s">
        <v>78</v>
      </c>
      <c r="H1" t="s">
        <v>77</v>
      </c>
      <c r="I1" t="s">
        <v>79</v>
      </c>
      <c r="J1" s="1" t="s">
        <v>57</v>
      </c>
      <c r="K1" s="1" t="s">
        <v>58</v>
      </c>
      <c r="L1" s="1" t="s">
        <v>59</v>
      </c>
      <c r="M1" s="1" t="s">
        <v>60</v>
      </c>
    </row>
    <row r="2" spans="1:13" x14ac:dyDescent="0.3">
      <c r="A2" t="s">
        <v>26</v>
      </c>
      <c r="B2" t="s">
        <v>28</v>
      </c>
      <c r="C2" t="s">
        <v>83</v>
      </c>
      <c r="D2" t="s">
        <v>82</v>
      </c>
      <c r="E2" t="s">
        <v>266</v>
      </c>
      <c r="F2" t="s">
        <v>73</v>
      </c>
      <c r="G2" t="s">
        <v>74</v>
      </c>
      <c r="H2" t="s">
        <v>75</v>
      </c>
      <c r="I2" t="s">
        <v>68</v>
      </c>
      <c r="J2" s="1" t="s">
        <v>69</v>
      </c>
      <c r="K2" s="1" t="s">
        <v>70</v>
      </c>
      <c r="L2" s="1" t="s">
        <v>71</v>
      </c>
      <c r="M2" s="1" t="s">
        <v>72</v>
      </c>
    </row>
    <row r="3" spans="1:13" x14ac:dyDescent="0.3">
      <c r="A3">
        <v>1</v>
      </c>
      <c r="B3" t="s">
        <v>42</v>
      </c>
      <c r="C3" t="s">
        <v>242</v>
      </c>
      <c r="D3" t="s">
        <v>245</v>
      </c>
      <c r="E3">
        <v>3</v>
      </c>
      <c r="F3">
        <v>0</v>
      </c>
      <c r="G3">
        <v>1</v>
      </c>
      <c r="H3">
        <v>0</v>
      </c>
      <c r="I3" t="s">
        <v>251</v>
      </c>
      <c r="J3">
        <v>0</v>
      </c>
      <c r="K3">
        <v>0</v>
      </c>
      <c r="L3">
        <v>0</v>
      </c>
      <c r="M3">
        <v>0</v>
      </c>
    </row>
    <row r="4" spans="1:13" ht="49.5" x14ac:dyDescent="0.3">
      <c r="A4">
        <v>2</v>
      </c>
      <c r="B4" t="s">
        <v>65</v>
      </c>
      <c r="C4" t="s">
        <v>248</v>
      </c>
      <c r="D4">
        <v>0</v>
      </c>
      <c r="E4">
        <v>3</v>
      </c>
      <c r="F4">
        <v>1</v>
      </c>
      <c r="G4">
        <v>99</v>
      </c>
      <c r="H4">
        <v>600</v>
      </c>
      <c r="I4" s="2" t="s">
        <v>85</v>
      </c>
      <c r="J4">
        <v>0</v>
      </c>
      <c r="K4">
        <v>0</v>
      </c>
      <c r="L4">
        <v>0</v>
      </c>
      <c r="M4">
        <v>0</v>
      </c>
    </row>
    <row r="5" spans="1:13" x14ac:dyDescent="0.3">
      <c r="A5">
        <v>3</v>
      </c>
      <c r="B5" t="s">
        <v>66</v>
      </c>
      <c r="C5" t="s">
        <v>249</v>
      </c>
      <c r="D5" t="s">
        <v>246</v>
      </c>
      <c r="E5">
        <v>5</v>
      </c>
      <c r="F5">
        <v>1</v>
      </c>
      <c r="G5">
        <v>99</v>
      </c>
      <c r="H5">
        <v>600</v>
      </c>
      <c r="I5" t="s">
        <v>86</v>
      </c>
      <c r="J5">
        <v>0</v>
      </c>
      <c r="K5">
        <v>0</v>
      </c>
      <c r="L5">
        <v>0</v>
      </c>
      <c r="M5">
        <v>0</v>
      </c>
    </row>
    <row r="6" spans="1:13" x14ac:dyDescent="0.3">
      <c r="A6">
        <v>4</v>
      </c>
      <c r="B6" t="s">
        <v>67</v>
      </c>
      <c r="C6" t="s">
        <v>250</v>
      </c>
      <c r="D6" t="s">
        <v>247</v>
      </c>
      <c r="E6">
        <v>3</v>
      </c>
      <c r="F6">
        <v>1</v>
      </c>
      <c r="G6">
        <v>99</v>
      </c>
      <c r="H6">
        <v>600</v>
      </c>
      <c r="I6" t="s">
        <v>84</v>
      </c>
      <c r="J6">
        <v>0</v>
      </c>
      <c r="K6">
        <v>0</v>
      </c>
      <c r="L6">
        <v>0</v>
      </c>
      <c r="M6">
        <v>0</v>
      </c>
    </row>
  </sheetData>
  <phoneticPr fontId="1"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12B98-4BA6-4CAE-9C25-5AC396FE3892}">
  <sheetPr codeName="Sheet3"/>
  <dimension ref="A1:E3"/>
  <sheetViews>
    <sheetView workbookViewId="0">
      <selection activeCell="J9" sqref="J9"/>
    </sheetView>
  </sheetViews>
  <sheetFormatPr defaultRowHeight="16.5" x14ac:dyDescent="0.3"/>
  <cols>
    <col min="5" max="5" width="16.125" bestFit="1" customWidth="1"/>
  </cols>
  <sheetData>
    <row r="1" spans="1:5" x14ac:dyDescent="0.3">
      <c r="A1" t="s">
        <v>237</v>
      </c>
      <c r="B1" t="s">
        <v>23</v>
      </c>
      <c r="C1" t="s">
        <v>231</v>
      </c>
      <c r="D1" t="s">
        <v>238</v>
      </c>
      <c r="E1" t="s">
        <v>239</v>
      </c>
    </row>
    <row r="2" spans="1:5" x14ac:dyDescent="0.3">
      <c r="A2" t="s">
        <v>16</v>
      </c>
      <c r="B2" t="s">
        <v>18</v>
      </c>
      <c r="C2" t="s">
        <v>83</v>
      </c>
      <c r="D2" t="s">
        <v>240</v>
      </c>
      <c r="E2" t="s">
        <v>68</v>
      </c>
    </row>
    <row r="3" spans="1:5" x14ac:dyDescent="0.3">
      <c r="A3">
        <v>1</v>
      </c>
      <c r="B3" t="s">
        <v>241</v>
      </c>
      <c r="C3" t="s">
        <v>243</v>
      </c>
      <c r="D3">
        <v>3.6</v>
      </c>
      <c r="E3" t="s">
        <v>244</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StartClassStat</vt:lpstr>
      <vt:lpstr>Camera_Shake</vt:lpstr>
      <vt:lpstr>Camera_Zoom</vt:lpstr>
      <vt:lpstr>Monster</vt:lpstr>
      <vt:lpstr>Stat</vt:lpstr>
      <vt:lpstr>Reward</vt:lpstr>
      <vt:lpstr>Weapon</vt:lpstr>
      <vt:lpstr>Spell</vt:lpstr>
      <vt:lpstr>Armor</vt:lpstr>
      <vt:lpstr>ToolItem</vt:lpstr>
      <vt:lpstr>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태섭 이</cp:lastModifiedBy>
  <cp:lastPrinted>2022-09-03T05:15:19Z</cp:lastPrinted>
  <dcterms:created xsi:type="dcterms:W3CDTF">2022-09-03T03:10:22Z</dcterms:created>
  <dcterms:modified xsi:type="dcterms:W3CDTF">2023-11-06T16:39:54Z</dcterms:modified>
</cp:coreProperties>
</file>