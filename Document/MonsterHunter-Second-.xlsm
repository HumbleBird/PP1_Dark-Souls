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현재_통합_문서"/>
  <mc:AlternateContent xmlns:mc="http://schemas.openxmlformats.org/markup-compatibility/2006">
    <mc:Choice Requires="x15">
      <x15ac:absPath xmlns:x15ac="http://schemas.microsoft.com/office/spreadsheetml/2010/11/ac" url="D:\LeeTaeSeop\Coding\Unity\PortPolio\PP1_Dark Souls\Document\"/>
    </mc:Choice>
  </mc:AlternateContent>
  <xr:revisionPtr revIDLastSave="0" documentId="13_ncr:1_{4E77F1F9-2601-4DBC-82A2-5D1AD1284C21}" xr6:coauthVersionLast="47" xr6:coauthVersionMax="47" xr10:uidLastSave="{00000000-0000-0000-0000-000000000000}"/>
  <bookViews>
    <workbookView xWindow="-28920" yWindow="-1890" windowWidth="29040" windowHeight="17640" tabRatio="999" activeTab="1" xr2:uid="{00000000-000D-0000-FFFF-FFFF00000000}"/>
  </bookViews>
  <sheets>
    <sheet name="StartClassStat" sheetId="8" r:id="rId1"/>
    <sheet name="ToolItem" sheetId="6" r:id="rId2"/>
    <sheet name="Camera_Shake" sheetId="1" r:id="rId3"/>
    <sheet name="Camera_Zoom" sheetId="25" r:id="rId4"/>
    <sheet name="Loading" sheetId="4" r:id="rId5"/>
    <sheet name="Lan" sheetId="3" r:id="rId6"/>
    <sheet name="Monster" sheetId="15" r:id="rId7"/>
    <sheet name="Stat" sheetId="9" r:id="rId8"/>
    <sheet name="Reward" sheetId="20" r:id="rId9"/>
    <sheet name="Boss" sheetId="12" r:id="rId10"/>
    <sheet name="Attack" sheetId="11" r:id="rId11"/>
    <sheet name="Buff" sheetId="14" r:id="rId12"/>
    <sheet name="AI" sheetId="10" r:id="rId13"/>
    <sheet name="Weapon" sheetId="16" r:id="rId14"/>
    <sheet name="Shield" sheetId="24" r:id="rId15"/>
    <sheet name="Armor" sheetId="18" r:id="rId16"/>
    <sheet name="Consumable" sheetId="19" r:id="rId17"/>
    <sheet name="Dialogue" sheetId="22" r:id="rId18"/>
    <sheet name="Shop" sheetId="23" r:id="rId19"/>
    <sheet name="Sound" sheetId="2" r:id="rId20"/>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11" l="1"/>
  <c r="D3" i="2"/>
  <c r="C3" i="11"/>
  <c r="C4" i="11"/>
  <c r="D12" i="2"/>
  <c r="D4" i="2"/>
  <c r="D5" i="2"/>
  <c r="D6" i="2"/>
  <c r="D7" i="2"/>
  <c r="D8" i="2"/>
  <c r="D9" i="2"/>
  <c r="D10" i="2"/>
  <c r="D11" i="2"/>
  <c r="D13" i="2"/>
  <c r="D14" i="2"/>
  <c r="D15" i="2"/>
  <c r="D16" i="2"/>
  <c r="D17" i="2"/>
  <c r="D18" i="2"/>
  <c r="D19" i="2"/>
  <c r="D20" i="2"/>
  <c r="D21" i="2"/>
  <c r="D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E2" authorId="0" shapeId="0" xr:uid="{347ACF39-6D2C-453A-BB68-E07C5F26784F}">
      <text>
        <r>
          <rPr>
            <b/>
            <sz val="9"/>
            <color indexed="81"/>
            <rFont val="돋움"/>
            <family val="3"/>
            <charset val="129"/>
          </rPr>
          <t>이태섭</t>
        </r>
        <r>
          <rPr>
            <b/>
            <sz val="9"/>
            <color indexed="81"/>
            <rFont val="Tahoma"/>
            <family val="2"/>
          </rPr>
          <t>:</t>
        </r>
        <r>
          <rPr>
            <sz val="9"/>
            <color indexed="81"/>
            <rFont val="Tahoma"/>
            <family val="2"/>
          </rPr>
          <t xml:space="preserve">
0 </t>
        </r>
        <r>
          <rPr>
            <sz val="9"/>
            <color indexed="81"/>
            <rFont val="돋움"/>
            <family val="3"/>
            <charset val="129"/>
          </rPr>
          <t xml:space="preserve">무제한
</t>
        </r>
        <r>
          <rPr>
            <sz val="9"/>
            <color indexed="81"/>
            <rFont val="Tahoma"/>
            <family val="2"/>
          </rPr>
          <t xml:space="preserve">1 </t>
        </r>
        <r>
          <rPr>
            <sz val="9"/>
            <color indexed="81"/>
            <rFont val="돋움"/>
            <family val="3"/>
            <charset val="129"/>
          </rPr>
          <t xml:space="preserve">소비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B1" authorId="0" shapeId="0" xr:uid="{00000000-0006-0000-0200-000001000000}">
      <text>
        <r>
          <rPr>
            <b/>
            <sz val="9"/>
            <color indexed="81"/>
            <rFont val="Tahoma"/>
            <family val="2"/>
          </rPr>
          <t>admin:</t>
        </r>
        <r>
          <rPr>
            <sz val="9"/>
            <color indexed="81"/>
            <rFont val="Tahoma"/>
            <family val="2"/>
          </rPr>
          <t xml:space="preserve">
1: </t>
        </r>
        <r>
          <rPr>
            <sz val="9"/>
            <color indexed="81"/>
            <rFont val="돋움"/>
            <family val="3"/>
            <charset val="129"/>
          </rPr>
          <t xml:space="preserve">모든곳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C1" authorId="0" shapeId="0" xr:uid="{C71B45D0-36E9-46F4-9B5F-9D3B448CB263}">
      <text>
        <r>
          <rPr>
            <b/>
            <sz val="9"/>
            <color indexed="81"/>
            <rFont val="돋움"/>
            <family val="3"/>
            <charset val="129"/>
          </rPr>
          <t>이태섭</t>
        </r>
        <r>
          <rPr>
            <b/>
            <sz val="9"/>
            <color indexed="81"/>
            <rFont val="Tahoma"/>
            <family val="2"/>
          </rPr>
          <t>:</t>
        </r>
        <r>
          <rPr>
            <sz val="9"/>
            <color indexed="81"/>
            <rFont val="Tahoma"/>
            <family val="2"/>
          </rPr>
          <t xml:space="preserve">
None = 0,
        Warior = 1,
        Knight = 2,
        Archer = 3,
        Wizard = 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B1" authorId="0" shapeId="0" xr:uid="{00000000-0006-0000-0B00-000001000000}">
      <text>
        <r>
          <rPr>
            <b/>
            <sz val="9"/>
            <color indexed="81"/>
            <rFont val="Tahoma"/>
            <family val="2"/>
          </rPr>
          <t>admin:</t>
        </r>
        <r>
          <rPr>
            <sz val="9"/>
            <color indexed="81"/>
            <rFont val="Tahoma"/>
            <family val="2"/>
          </rPr>
          <t xml:space="preserve">
0 </t>
        </r>
        <r>
          <rPr>
            <sz val="9"/>
            <color indexed="81"/>
            <rFont val="돋움"/>
            <family val="3"/>
            <charset val="129"/>
          </rPr>
          <t xml:space="preserve">근접
</t>
        </r>
        <r>
          <rPr>
            <sz val="9"/>
            <color indexed="81"/>
            <rFont val="Tahoma"/>
            <family val="2"/>
          </rPr>
          <t xml:space="preserve">1 </t>
        </r>
        <r>
          <rPr>
            <sz val="9"/>
            <color indexed="81"/>
            <rFont val="돋움"/>
            <family val="3"/>
            <charset val="129"/>
          </rPr>
          <t>원거리</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C1" authorId="0" shapeId="0" xr:uid="{31A3CD10-F382-4E14-9621-A88DEDFA9C12}">
      <text>
        <r>
          <rPr>
            <b/>
            <sz val="9"/>
            <color indexed="81"/>
            <rFont val="돋움"/>
            <family val="3"/>
            <charset val="129"/>
          </rPr>
          <t>1. Daggers
2. Straight SwordsGreatswords
3. Ultra Greatswords
4. Curved Swordsuchigatana-icon.png
5. Katanas
6. Curved Greatswords
7. Piercing Swords
8. Axes
9. Greataxes
10. Hammers
11. Great Hammers
12. Fist &amp; Claws
13. Spears &amp; Pikes
14. Halberds
15. Reapers
16. Whips
17. Bows
18. Greatbows
19. Crossbows
20. Staves
21. Flames
22. Talismans
24. Sacred Chimes
25. Shield (TODO)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C1" authorId="0" shapeId="0" xr:uid="{7D26B24A-F2D4-465D-ADC6-24CB7A71DA42}">
      <text>
        <r>
          <rPr>
            <b/>
            <sz val="9"/>
            <color indexed="81"/>
            <rFont val="돋움"/>
            <family val="3"/>
            <charset val="129"/>
          </rPr>
          <t>Samll = 1,
Standard = 2,
Greatshield = 3</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C1" authorId="0" shapeId="0" xr:uid="{36F77077-DFC9-44AA-B027-B813F9FE2D44}">
      <text>
        <r>
          <rPr>
            <b/>
            <sz val="9"/>
            <color indexed="81"/>
            <rFont val="돋움"/>
            <family val="3"/>
            <charset val="129"/>
          </rPr>
          <t>이태섭</t>
        </r>
        <r>
          <rPr>
            <b/>
            <sz val="9"/>
            <color indexed="81"/>
            <rFont val="Tahoma"/>
            <family val="2"/>
          </rPr>
          <t>:</t>
        </r>
        <r>
          <rPr>
            <sz val="9"/>
            <color indexed="81"/>
            <rFont val="Tahoma"/>
            <family val="2"/>
          </rPr>
          <t xml:space="preserve">
Helmet = 1,
Armor = 2,
Pant = 3,
Gloves = 4,
Ring = 5,</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C1" authorId="0" shapeId="0" xr:uid="{BB3D2657-C3E6-47EC-9546-DFCD11F694FC}">
      <text>
        <r>
          <rPr>
            <b/>
            <sz val="9"/>
            <color indexed="81"/>
            <rFont val="돋움"/>
            <family val="3"/>
            <charset val="129"/>
          </rPr>
          <t>이태섭</t>
        </r>
        <r>
          <rPr>
            <b/>
            <sz val="9"/>
            <color indexed="81"/>
            <rFont val="Tahoma"/>
            <family val="2"/>
          </rPr>
          <t>:</t>
        </r>
        <r>
          <rPr>
            <sz val="9"/>
            <color indexed="81"/>
            <rFont val="Tahoma"/>
            <family val="2"/>
          </rPr>
          <t xml:space="preserve">
1. </t>
        </r>
        <r>
          <rPr>
            <sz val="9"/>
            <color indexed="81"/>
            <rFont val="돋움"/>
            <family val="3"/>
            <charset val="129"/>
          </rPr>
          <t>최대</t>
        </r>
        <r>
          <rPr>
            <sz val="9"/>
            <color indexed="81"/>
            <rFont val="Tahoma"/>
            <family val="2"/>
          </rPr>
          <t xml:space="preserve"> </t>
        </r>
        <r>
          <rPr>
            <sz val="9"/>
            <color indexed="81"/>
            <rFont val="돋움"/>
            <family val="3"/>
            <charset val="129"/>
          </rPr>
          <t>생명력</t>
        </r>
        <r>
          <rPr>
            <sz val="9"/>
            <color indexed="81"/>
            <rFont val="Tahoma"/>
            <family val="2"/>
          </rPr>
          <t xml:space="preserve"> </t>
        </r>
        <r>
          <rPr>
            <sz val="9"/>
            <color indexed="81"/>
            <rFont val="돋움"/>
            <family val="3"/>
            <charset val="129"/>
          </rPr>
          <t xml:space="preserve">증가
</t>
        </r>
        <r>
          <rPr>
            <sz val="9"/>
            <color indexed="81"/>
            <rFont val="Tahoma"/>
            <family val="2"/>
          </rPr>
          <t xml:space="preserve">2. </t>
        </r>
        <r>
          <rPr>
            <sz val="9"/>
            <color indexed="81"/>
            <rFont val="돋움"/>
            <family val="3"/>
            <charset val="129"/>
          </rPr>
          <t>현재</t>
        </r>
        <r>
          <rPr>
            <sz val="9"/>
            <color indexed="81"/>
            <rFont val="Tahoma"/>
            <family val="2"/>
          </rPr>
          <t xml:space="preserve"> </t>
        </r>
        <r>
          <rPr>
            <sz val="9"/>
            <color indexed="81"/>
            <rFont val="돋움"/>
            <family val="3"/>
            <charset val="129"/>
          </rPr>
          <t>생명력</t>
        </r>
        <r>
          <rPr>
            <sz val="9"/>
            <color indexed="81"/>
            <rFont val="Tahoma"/>
            <family val="2"/>
          </rPr>
          <t xml:space="preserve"> </t>
        </r>
        <r>
          <rPr>
            <sz val="9"/>
            <color indexed="81"/>
            <rFont val="돋움"/>
            <family val="3"/>
            <charset val="129"/>
          </rPr>
          <t xml:space="preserve">증가
</t>
        </r>
        <r>
          <rPr>
            <sz val="9"/>
            <color indexed="81"/>
            <rFont val="Tahoma"/>
            <family val="2"/>
          </rPr>
          <t xml:space="preserve">3. </t>
        </r>
        <r>
          <rPr>
            <sz val="9"/>
            <color indexed="81"/>
            <rFont val="돋움"/>
            <family val="3"/>
            <charset val="129"/>
          </rPr>
          <t>최대</t>
        </r>
        <r>
          <rPr>
            <sz val="9"/>
            <color indexed="81"/>
            <rFont val="Tahoma"/>
            <family val="2"/>
          </rPr>
          <t xml:space="preserve"> </t>
        </r>
        <r>
          <rPr>
            <sz val="9"/>
            <color indexed="81"/>
            <rFont val="돋움"/>
            <family val="3"/>
            <charset val="129"/>
          </rPr>
          <t>마나</t>
        </r>
        <r>
          <rPr>
            <sz val="9"/>
            <color indexed="81"/>
            <rFont val="Tahoma"/>
            <family val="2"/>
          </rPr>
          <t xml:space="preserve"> </t>
        </r>
        <r>
          <rPr>
            <sz val="9"/>
            <color indexed="81"/>
            <rFont val="돋움"/>
            <family val="3"/>
            <charset val="129"/>
          </rPr>
          <t xml:space="preserve">증가
</t>
        </r>
        <r>
          <rPr>
            <sz val="9"/>
            <color indexed="81"/>
            <rFont val="Tahoma"/>
            <family val="2"/>
          </rPr>
          <t xml:space="preserve">4. </t>
        </r>
        <r>
          <rPr>
            <sz val="9"/>
            <color indexed="81"/>
            <rFont val="돋움"/>
            <family val="3"/>
            <charset val="129"/>
          </rPr>
          <t>현재</t>
        </r>
        <r>
          <rPr>
            <sz val="9"/>
            <color indexed="81"/>
            <rFont val="Tahoma"/>
            <family val="2"/>
          </rPr>
          <t xml:space="preserve"> </t>
        </r>
        <r>
          <rPr>
            <sz val="9"/>
            <color indexed="81"/>
            <rFont val="돋움"/>
            <family val="3"/>
            <charset val="129"/>
          </rPr>
          <t>마나</t>
        </r>
        <r>
          <rPr>
            <sz val="9"/>
            <color indexed="81"/>
            <rFont val="Tahoma"/>
            <family val="2"/>
          </rPr>
          <t xml:space="preserve"> </t>
        </r>
        <r>
          <rPr>
            <sz val="9"/>
            <color indexed="81"/>
            <rFont val="돋움"/>
            <family val="3"/>
            <charset val="129"/>
          </rPr>
          <t xml:space="preserve">증가
</t>
        </r>
        <r>
          <rPr>
            <sz val="9"/>
            <color indexed="81"/>
            <rFont val="Tahoma"/>
            <family val="2"/>
          </rPr>
          <t xml:space="preserve">5. </t>
        </r>
        <r>
          <rPr>
            <sz val="9"/>
            <color indexed="81"/>
            <rFont val="돋움"/>
            <family val="3"/>
            <charset val="129"/>
          </rPr>
          <t>데미지</t>
        </r>
        <r>
          <rPr>
            <sz val="9"/>
            <color indexed="81"/>
            <rFont val="Tahoma"/>
            <family val="2"/>
          </rPr>
          <t xml:space="preserve"> </t>
        </r>
        <r>
          <rPr>
            <sz val="9"/>
            <color indexed="81"/>
            <rFont val="돋움"/>
            <family val="3"/>
            <charset val="129"/>
          </rPr>
          <t xml:space="preserve">증가
</t>
        </r>
        <r>
          <rPr>
            <sz val="9"/>
            <color indexed="81"/>
            <rFont val="Tahoma"/>
            <family val="2"/>
          </rPr>
          <t xml:space="preserve">6. </t>
        </r>
        <r>
          <rPr>
            <sz val="9"/>
            <color indexed="81"/>
            <rFont val="돋움"/>
            <family val="3"/>
            <charset val="129"/>
          </rPr>
          <t>방어력</t>
        </r>
        <r>
          <rPr>
            <sz val="9"/>
            <color indexed="81"/>
            <rFont val="Tahoma"/>
            <family val="2"/>
          </rPr>
          <t xml:space="preserve"> </t>
        </r>
        <r>
          <rPr>
            <sz val="9"/>
            <color indexed="81"/>
            <rFont val="돋움"/>
            <family val="3"/>
            <charset val="129"/>
          </rPr>
          <t xml:space="preserve">증가
</t>
        </r>
        <r>
          <rPr>
            <sz val="9"/>
            <color indexed="81"/>
            <rFont val="Tahoma"/>
            <family val="2"/>
          </rPr>
          <t xml:space="preserve">7. </t>
        </r>
        <r>
          <rPr>
            <sz val="9"/>
            <color indexed="81"/>
            <rFont val="돋움"/>
            <family val="3"/>
            <charset val="129"/>
          </rPr>
          <t>이동</t>
        </r>
        <r>
          <rPr>
            <sz val="9"/>
            <color indexed="81"/>
            <rFont val="Tahoma"/>
            <family val="2"/>
          </rPr>
          <t xml:space="preserve"> </t>
        </r>
        <r>
          <rPr>
            <sz val="9"/>
            <color indexed="81"/>
            <rFont val="돋움"/>
            <family val="3"/>
            <charset val="129"/>
          </rPr>
          <t>속도</t>
        </r>
        <r>
          <rPr>
            <sz val="9"/>
            <color indexed="81"/>
            <rFont val="Tahoma"/>
            <family val="2"/>
          </rPr>
          <t xml:space="preserve"> </t>
        </r>
        <r>
          <rPr>
            <sz val="9"/>
            <color indexed="81"/>
            <rFont val="돋움"/>
            <family val="3"/>
            <charset val="129"/>
          </rPr>
          <t>증가</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이태섭</author>
  </authors>
  <commentList>
    <comment ref="M2" authorId="0" shapeId="0" xr:uid="{93A45F44-EB47-44BE-8214-B5016A7DAC66}">
      <text>
        <r>
          <rPr>
            <b/>
            <sz val="9"/>
            <color indexed="81"/>
            <rFont val="돋움"/>
            <family val="3"/>
            <charset val="129"/>
          </rPr>
          <t>이태섭</t>
        </r>
        <r>
          <rPr>
            <b/>
            <sz val="9"/>
            <color indexed="81"/>
            <rFont val="Tahoma"/>
            <family val="2"/>
          </rPr>
          <t>:</t>
        </r>
        <r>
          <rPr>
            <sz val="9"/>
            <color indexed="81"/>
            <rFont val="Tahoma"/>
            <family val="2"/>
          </rPr>
          <t xml:space="preserve">
0 BGM
1 Effect</t>
        </r>
      </text>
    </comment>
    <comment ref="N2" authorId="0" shapeId="0" xr:uid="{7038376E-1914-4FA7-A6F4-C4AE48A55B1E}">
      <text>
        <r>
          <rPr>
            <b/>
            <sz val="9"/>
            <color indexed="81"/>
            <rFont val="돋움"/>
            <family val="3"/>
            <charset val="129"/>
          </rPr>
          <t>이태섭</t>
        </r>
        <r>
          <rPr>
            <b/>
            <sz val="9"/>
            <color indexed="81"/>
            <rFont val="Tahoma"/>
            <family val="2"/>
          </rPr>
          <t>:</t>
        </r>
        <r>
          <rPr>
            <sz val="9"/>
            <color indexed="81"/>
            <rFont val="Tahoma"/>
            <family val="2"/>
          </rPr>
          <t xml:space="preserve">
0 1</t>
        </r>
        <r>
          <rPr>
            <sz val="9"/>
            <color indexed="81"/>
            <rFont val="돋움"/>
            <family val="3"/>
            <charset val="129"/>
          </rPr>
          <t xml:space="preserve">번
</t>
        </r>
        <r>
          <rPr>
            <sz val="9"/>
            <color indexed="81"/>
            <rFont val="Tahoma"/>
            <family val="2"/>
          </rPr>
          <t>1 Loop</t>
        </r>
      </text>
    </comment>
  </commentList>
</comments>
</file>

<file path=xl/sharedStrings.xml><?xml version="1.0" encoding="utf-8"?>
<sst xmlns="http://schemas.openxmlformats.org/spreadsheetml/2006/main" count="375" uniqueCount="309">
  <si>
    <t>Camera_Id</t>
    <phoneticPr fontId="1" type="noConversion"/>
  </si>
  <si>
    <t>Delay</t>
    <phoneticPr fontId="1" type="noConversion"/>
  </si>
  <si>
    <t>Shake_Time</t>
    <phoneticPr fontId="1" type="noConversion"/>
  </si>
  <si>
    <t>Shake_X</t>
    <phoneticPr fontId="1" type="noConversion"/>
  </si>
  <si>
    <t>Shake_Y</t>
    <phoneticPr fontId="1" type="noConversion"/>
  </si>
  <si>
    <t>Shake_Spd</t>
    <phoneticPr fontId="1" type="noConversion"/>
  </si>
  <si>
    <t>Damping</t>
    <phoneticPr fontId="1" type="noConversion"/>
  </si>
  <si>
    <t>카메라 Id</t>
    <phoneticPr fontId="1" type="noConversion"/>
  </si>
  <si>
    <t>시작딜레이</t>
    <phoneticPr fontId="1" type="noConversion"/>
  </si>
  <si>
    <t>쉐이크시간</t>
    <phoneticPr fontId="1" type="noConversion"/>
  </si>
  <si>
    <t>Max_Shake_Count</t>
    <phoneticPr fontId="1" type="noConversion"/>
  </si>
  <si>
    <t>쉐이크감도_X</t>
    <phoneticPr fontId="1" type="noConversion"/>
  </si>
  <si>
    <t>쉐이크감도_Y</t>
    <phoneticPr fontId="1" type="noConversion"/>
  </si>
  <si>
    <t>쉐이크속도</t>
    <phoneticPr fontId="1" type="noConversion"/>
  </si>
  <si>
    <t>감쇄값</t>
    <phoneticPr fontId="1" type="noConversion"/>
  </si>
  <si>
    <t>최대쉐이크수</t>
    <phoneticPr fontId="1" type="noConversion"/>
  </si>
  <si>
    <t>Id</t>
    <phoneticPr fontId="1" type="noConversion"/>
  </si>
  <si>
    <t>Type</t>
    <phoneticPr fontId="1" type="noConversion"/>
  </si>
  <si>
    <t>아이디</t>
    <phoneticPr fontId="1" type="noConversion"/>
  </si>
  <si>
    <t>타입</t>
    <phoneticPr fontId="1" type="noConversion"/>
  </si>
  <si>
    <t>구분</t>
    <phoneticPr fontId="1" type="noConversion"/>
  </si>
  <si>
    <t>한국어</t>
    <phoneticPr fontId="1" type="noConversion"/>
  </si>
  <si>
    <t>영어</t>
    <phoneticPr fontId="1" type="noConversion"/>
  </si>
  <si>
    <t>일본어</t>
    <phoneticPr fontId="1" type="noConversion"/>
  </si>
  <si>
    <t>랭귀지_ID</t>
    <phoneticPr fontId="1" type="noConversion"/>
  </si>
  <si>
    <t>확인</t>
    <phoneticPr fontId="1" type="noConversion"/>
  </si>
  <si>
    <t>상점2</t>
    <phoneticPr fontId="1" type="noConversion"/>
  </si>
  <si>
    <t>Dec</t>
    <phoneticPr fontId="1" type="noConversion"/>
  </si>
  <si>
    <t>캐릭터는 남자다</t>
    <phoneticPr fontId="1" type="noConversion"/>
  </si>
  <si>
    <t>미션은 일일 미션이 최고</t>
    <phoneticPr fontId="1" type="noConversion"/>
  </si>
  <si>
    <t>Idx</t>
    <phoneticPr fontId="1" type="noConversion"/>
  </si>
  <si>
    <t>이름</t>
    <phoneticPr fontId="1" type="noConversion"/>
  </si>
  <si>
    <t>냥코스</t>
    <phoneticPr fontId="1" type="noConversion"/>
  </si>
  <si>
    <t>#Prefab_Path</t>
    <phoneticPr fontId="1" type="noConversion"/>
  </si>
  <si>
    <t>class</t>
    <phoneticPr fontId="1" type="noConversion"/>
  </si>
  <si>
    <t>직업</t>
    <phoneticPr fontId="1" type="noConversion"/>
  </si>
  <si>
    <t>Atk</t>
    <phoneticPr fontId="1" type="noConversion"/>
  </si>
  <si>
    <t>프리팹</t>
    <phoneticPr fontId="1" type="noConversion"/>
  </si>
  <si>
    <t>공격력</t>
    <phoneticPr fontId="1" type="noConversion"/>
  </si>
  <si>
    <t>체력</t>
    <phoneticPr fontId="1" type="noConversion"/>
  </si>
  <si>
    <t>스테미너</t>
    <phoneticPr fontId="1" type="noConversion"/>
  </si>
  <si>
    <t>방어력</t>
    <phoneticPr fontId="1" type="noConversion"/>
  </si>
  <si>
    <t>Hp</t>
    <phoneticPr fontId="1" type="noConversion"/>
  </si>
  <si>
    <t>Stamina</t>
    <phoneticPr fontId="1" type="noConversion"/>
  </si>
  <si>
    <t>Def</t>
    <phoneticPr fontId="1" type="noConversion"/>
  </si>
  <si>
    <t>공격 속도</t>
    <phoneticPr fontId="1" type="noConversion"/>
  </si>
  <si>
    <t>WalkSpeed</t>
    <phoneticPr fontId="1" type="noConversion"/>
  </si>
  <si>
    <t>걷는 속도</t>
    <phoneticPr fontId="1" type="noConversion"/>
  </si>
  <si>
    <t>RunSpeed</t>
    <phoneticPr fontId="1" type="noConversion"/>
  </si>
  <si>
    <t>달리기 속도</t>
    <phoneticPr fontId="1" type="noConversion"/>
  </si>
  <si>
    <t>Name</t>
    <phoneticPr fontId="1" type="noConversion"/>
  </si>
  <si>
    <t>기술 이름</t>
    <phoneticPr fontId="1" type="noConversion"/>
  </si>
  <si>
    <t>사정거리</t>
    <phoneticPr fontId="1" type="noConversion"/>
  </si>
  <si>
    <t>다음 연속기 번호</t>
    <phoneticPr fontId="1" type="noConversion"/>
  </si>
  <si>
    <t>CoolTime</t>
    <phoneticPr fontId="1" type="noConversion"/>
  </si>
  <si>
    <t>Range</t>
    <phoneticPr fontId="1" type="noConversion"/>
  </si>
  <si>
    <t>NextNum</t>
    <phoneticPr fontId="1" type="noConversion"/>
  </si>
  <si>
    <t>후딜</t>
    <phoneticPr fontId="1" type="noConversion"/>
  </si>
  <si>
    <t>Speed</t>
    <phoneticPr fontId="1" type="noConversion"/>
  </si>
  <si>
    <t>Dmg</t>
    <phoneticPr fontId="1" type="noConversion"/>
  </si>
  <si>
    <t>Player</t>
    <phoneticPr fontId="1" type="noConversion"/>
  </si>
  <si>
    <t>Monster</t>
    <phoneticPr fontId="1" type="noConversion"/>
  </si>
  <si>
    <t>RewardGold</t>
    <phoneticPr fontId="1" type="noConversion"/>
  </si>
  <si>
    <t>RewardItem</t>
    <phoneticPr fontId="1" type="noConversion"/>
  </si>
  <si>
    <t>보상 골드</t>
    <phoneticPr fontId="1" type="noConversion"/>
  </si>
  <si>
    <t>보상 아이템</t>
    <phoneticPr fontId="1" type="noConversion"/>
  </si>
  <si>
    <t>AnimName</t>
    <phoneticPr fontId="1" type="noConversion"/>
  </si>
  <si>
    <t>애니메이션 이름</t>
    <phoneticPr fontId="1" type="noConversion"/>
  </si>
  <si>
    <t>startWaitTime</t>
  </si>
  <si>
    <t>timeToRotate</t>
  </si>
  <si>
    <t>viewRadius</t>
  </si>
  <si>
    <t>viewAngle</t>
  </si>
  <si>
    <t>시작 대기 시간</t>
    <phoneticPr fontId="1" type="noConversion"/>
  </si>
  <si>
    <t>시약 밖을 탐지하는 대기 시간</t>
    <phoneticPr fontId="1" type="noConversion"/>
  </si>
  <si>
    <t>적의 시야각</t>
  </si>
  <si>
    <t>적의 시야 반경(반지름)</t>
    <phoneticPr fontId="1" type="noConversion"/>
  </si>
  <si>
    <t>AI</t>
    <phoneticPr fontId="1" type="noConversion"/>
  </si>
  <si>
    <t>AI의 ID</t>
    <phoneticPr fontId="1" type="noConversion"/>
  </si>
  <si>
    <t>Monster/Boss/Orc</t>
    <phoneticPr fontId="1" type="noConversion"/>
  </si>
  <si>
    <t>sword and shield slash1</t>
  </si>
  <si>
    <t>Boss</t>
    <phoneticPr fontId="1" type="noConversion"/>
  </si>
  <si>
    <t>Class</t>
    <phoneticPr fontId="1" type="noConversion"/>
  </si>
  <si>
    <t>클래스</t>
    <phoneticPr fontId="1" type="noConversion"/>
  </si>
  <si>
    <t>Idx</t>
  </si>
  <si>
    <t>Name</t>
  </si>
  <si>
    <t>NextNum</t>
  </si>
  <si>
    <t>아이디</t>
  </si>
  <si>
    <t>기술 이름</t>
  </si>
  <si>
    <t>다음 연속기 번호</t>
  </si>
  <si>
    <t>WeaponType</t>
    <phoneticPr fontId="1" type="noConversion"/>
  </si>
  <si>
    <t>무기 타입</t>
    <phoneticPr fontId="1" type="noConversion"/>
  </si>
  <si>
    <t>ConsumableType</t>
    <phoneticPr fontId="1" type="noConversion"/>
  </si>
  <si>
    <t>소비 타입</t>
    <phoneticPr fontId="1" type="noConversion"/>
  </si>
  <si>
    <t>Value</t>
    <phoneticPr fontId="1" type="noConversion"/>
  </si>
  <si>
    <t>회복 수치?</t>
    <phoneticPr fontId="1" type="noConversion"/>
  </si>
  <si>
    <t>이름</t>
  </si>
  <si>
    <t>타입</t>
  </si>
  <si>
    <t>장착부위</t>
  </si>
  <si>
    <t>MaxCount</t>
    <phoneticPr fontId="1" type="noConversion"/>
  </si>
  <si>
    <t>최대 소지 개수</t>
    <phoneticPr fontId="1" type="noConversion"/>
  </si>
  <si>
    <t>Probability</t>
    <phoneticPr fontId="1" type="noConversion"/>
  </si>
  <si>
    <t>ItemId</t>
    <phoneticPr fontId="1" type="noConversion"/>
  </si>
  <si>
    <t>count</t>
    <phoneticPr fontId="1" type="noConversion"/>
  </si>
  <si>
    <t>확률</t>
    <phoneticPr fontId="1" type="noConversion"/>
  </si>
  <si>
    <t>아이템 아이디</t>
    <phoneticPr fontId="1" type="noConversion"/>
  </si>
  <si>
    <t>개수</t>
    <phoneticPr fontId="1" type="noConversion"/>
  </si>
  <si>
    <t>MP</t>
    <phoneticPr fontId="1" type="noConversion"/>
  </si>
  <si>
    <t>인덱스</t>
    <phoneticPr fontId="1" type="noConversion"/>
  </si>
  <si>
    <t>Type</t>
  </si>
  <si>
    <t>Looping_T</t>
  </si>
  <si>
    <t>Sound_Path</t>
  </si>
  <si>
    <t>#Object</t>
  </si>
  <si>
    <t>루프</t>
  </si>
  <si>
    <t>경로</t>
  </si>
  <si>
    <t>데이터 시트 전용 관리</t>
  </si>
  <si>
    <t>Player Move Walk</t>
  </si>
  <si>
    <t>Bgm/</t>
  </si>
  <si>
    <t>Player Move Run</t>
  </si>
  <si>
    <t>Effect/</t>
  </si>
  <si>
    <t>Battle/</t>
  </si>
  <si>
    <t>Item_Interaction/</t>
  </si>
  <si>
    <t>Monster/</t>
  </si>
  <si>
    <t>Player/</t>
  </si>
  <si>
    <t>Skeleton Walk</t>
  </si>
  <si>
    <t>Skeleton Run</t>
  </si>
  <si>
    <t>Drink Potion</t>
  </si>
  <si>
    <t>Input Sword</t>
  </si>
  <si>
    <t>Output Sword</t>
  </si>
  <si>
    <t>Skeleton Hit</t>
  </si>
  <si>
    <t>UI On Off Sound</t>
  </si>
  <si>
    <t>Secret Open Door</t>
  </si>
  <si>
    <t>Item Drop</t>
  </si>
  <si>
    <t>Player Dead</t>
  </si>
  <si>
    <t>Player Hit</t>
  </si>
  <si>
    <t>sword and shield slash2</t>
    <phoneticPr fontId="1" type="noConversion"/>
  </si>
  <si>
    <t>sword and shield slash3</t>
    <phoneticPr fontId="1" type="noConversion"/>
  </si>
  <si>
    <t>Skeleton Warior Attack 1</t>
  </si>
  <si>
    <t>SkeletonShieldWarrior Idle</t>
    <phoneticPr fontId="1" type="noConversion"/>
  </si>
  <si>
    <t>SkeletonShieldWarrior Dead</t>
    <phoneticPr fontId="1" type="noConversion"/>
  </si>
  <si>
    <t>Skeleton Warior Attack 2</t>
    <phoneticPr fontId="1" type="noConversion"/>
  </si>
  <si>
    <t>Text_English</t>
    <phoneticPr fontId="1" type="noConversion"/>
  </si>
  <si>
    <t>NextIdx</t>
    <phoneticPr fontId="1" type="noConversion"/>
  </si>
  <si>
    <t>다음 인덱스</t>
    <phoneticPr fontId="1" type="noConversion"/>
  </si>
  <si>
    <t>#des</t>
    <phoneticPr fontId="1" type="noConversion"/>
  </si>
  <si>
    <t>설명</t>
    <phoneticPr fontId="1" type="noConversion"/>
  </si>
  <si>
    <t>화방녀가 처음으로 플레이어를 마주쳤을 떄</t>
    <phoneticPr fontId="1" type="noConversion"/>
  </si>
  <si>
    <t>Hello, firewood from fire.</t>
  </si>
  <si>
    <t>Nice to meet you. I'm a sleep.</t>
  </si>
  <si>
    <t>ItemIdx</t>
    <phoneticPr fontId="1" type="noConversion"/>
  </si>
  <si>
    <t>Price</t>
    <phoneticPr fontId="1" type="noConversion"/>
  </si>
  <si>
    <t>Count</t>
    <phoneticPr fontId="1" type="noConversion"/>
  </si>
  <si>
    <t>아이템 인덱스</t>
    <phoneticPr fontId="1" type="noConversion"/>
  </si>
  <si>
    <t>가격</t>
    <phoneticPr fontId="1" type="noConversion"/>
  </si>
  <si>
    <t>Artorias</t>
    <phoneticPr fontId="1" type="noConversion"/>
  </si>
  <si>
    <t>Monster/Boss/Artorias</t>
    <phoneticPr fontId="1" type="noConversion"/>
  </si>
  <si>
    <t>Skeleton Warior</t>
    <phoneticPr fontId="1" type="noConversion"/>
  </si>
  <si>
    <t>Skeleton Knight</t>
    <phoneticPr fontId="1" type="noConversion"/>
  </si>
  <si>
    <t>Skeleton Archer</t>
    <phoneticPr fontId="1" type="noConversion"/>
  </si>
  <si>
    <t>Monster/Normal/SkeletonKnight</t>
    <phoneticPr fontId="1" type="noConversion"/>
  </si>
  <si>
    <t>Monster/Normal/SkeletonArcher</t>
    <phoneticPr fontId="1" type="noConversion"/>
  </si>
  <si>
    <t>Monster/Normal/SkeletonWarior</t>
    <phoneticPr fontId="1" type="noConversion"/>
  </si>
  <si>
    <t>Orc</t>
    <phoneticPr fontId="1" type="noConversion"/>
  </si>
  <si>
    <t>Dagger</t>
    <phoneticPr fontId="1" type="noConversion"/>
  </si>
  <si>
    <t>Parrying Dagger</t>
  </si>
  <si>
    <t>Broken Straight Sword</t>
  </si>
  <si>
    <t>Catarina Leggings</t>
  </si>
  <si>
    <t>Catarina Gauntlets</t>
  </si>
  <si>
    <t>Catarina Armor</t>
  </si>
  <si>
    <t>Estus Flask</t>
  </si>
  <si>
    <t>Physical</t>
    <phoneticPr fontId="1" type="noConversion"/>
  </si>
  <si>
    <t>물리</t>
    <phoneticPr fontId="1" type="noConversion"/>
  </si>
  <si>
    <t>Broadsword</t>
  </si>
  <si>
    <t>Catarina Helm</t>
    <phoneticPr fontId="1" type="noConversion"/>
  </si>
  <si>
    <t>Physical Resitance</t>
    <phoneticPr fontId="1" type="noConversion"/>
  </si>
  <si>
    <t>물리 방어력</t>
    <phoneticPr fontId="1" type="noConversion"/>
  </si>
  <si>
    <t>Ashen Estus Flask</t>
  </si>
  <si>
    <t>ArmorType</t>
    <phoneticPr fontId="1" type="noConversion"/>
  </si>
  <si>
    <t>Damage Reduction</t>
    <phoneticPr fontId="1" type="noConversion"/>
  </si>
  <si>
    <t>피해 감소율 (%)</t>
    <phoneticPr fontId="1" type="noConversion"/>
  </si>
  <si>
    <t>Blow Skeleton Attack 2</t>
  </si>
  <si>
    <t>Blow Skeleton Attack 1</t>
    <phoneticPr fontId="1" type="noConversion"/>
  </si>
  <si>
    <t>Blow Skeleton Warior Combo Attack 1</t>
  </si>
  <si>
    <t>Blow Skeleton Warior Combo Attack 2</t>
  </si>
  <si>
    <t>Daggers Light Attack 1</t>
    <phoneticPr fontId="1" type="noConversion"/>
  </si>
  <si>
    <t>Daggers Light Attack 2</t>
    <phoneticPr fontId="1" type="noConversion"/>
  </si>
  <si>
    <t>Daggers Heavy Attack 1</t>
    <phoneticPr fontId="1" type="noConversion"/>
  </si>
  <si>
    <t>Straight Swords Light Attack 1</t>
    <phoneticPr fontId="1" type="noConversion"/>
  </si>
  <si>
    <t>Straight Swords Light Attack 2</t>
    <phoneticPr fontId="1" type="noConversion"/>
  </si>
  <si>
    <t>Straight Swords Heavy Attack 1</t>
    <phoneticPr fontId="1" type="noConversion"/>
  </si>
  <si>
    <t>Straight Swords Heavy Attack 2</t>
    <phoneticPr fontId="1" type="noConversion"/>
  </si>
  <si>
    <t>쉴드 타입</t>
    <phoneticPr fontId="1" type="noConversion"/>
  </si>
  <si>
    <t>Shield Type</t>
    <phoneticPr fontId="1" type="noConversion"/>
  </si>
  <si>
    <t>Art/Textures/UI/Item/Weapons/</t>
    <phoneticPr fontId="1" type="noConversion"/>
  </si>
  <si>
    <t>Art/Textures/UI/Item/Armors/</t>
    <phoneticPr fontId="1" type="noConversion"/>
  </si>
  <si>
    <t>Art/Textures/UI/Item/Consumabls/</t>
    <phoneticPr fontId="1" type="noConversion"/>
  </si>
  <si>
    <t>Uchigatana</t>
    <phoneticPr fontId="1" type="noConversion"/>
  </si>
  <si>
    <t>UI</t>
    <phoneticPr fontId="1" type="noConversion"/>
  </si>
  <si>
    <t>Prefabs</t>
    <phoneticPr fontId="1" type="noConversion"/>
  </si>
  <si>
    <t>Item/Weapons/</t>
    <phoneticPr fontId="1" type="noConversion"/>
  </si>
  <si>
    <t>Item/Armors/</t>
    <phoneticPr fontId="1" type="noConversion"/>
  </si>
  <si>
    <t>Item/Consumabls/</t>
    <phoneticPr fontId="1" type="noConversion"/>
  </si>
  <si>
    <t>Shortsword</t>
  </si>
  <si>
    <t>Bandit's Knife</t>
    <phoneticPr fontId="1" type="noConversion"/>
  </si>
  <si>
    <t>East-West Shield</t>
    <phoneticPr fontId="1" type="noConversion"/>
  </si>
  <si>
    <t>Straight Sword Two Hand Light Attack 1</t>
    <phoneticPr fontId="1" type="noConversion"/>
  </si>
  <si>
    <t>Straight Sword Two Hand Light Attack 2</t>
  </si>
  <si>
    <t>Dest</t>
    <phoneticPr fontId="1" type="noConversion"/>
  </si>
  <si>
    <t>줌 거리</t>
    <phoneticPr fontId="1" type="noConversion"/>
  </si>
  <si>
    <t>BlendInTime</t>
    <phoneticPr fontId="1" type="noConversion"/>
  </si>
  <si>
    <t>Duration</t>
    <phoneticPr fontId="1" type="noConversion"/>
  </si>
  <si>
    <t>줌 유지 기간</t>
    <phoneticPr fontId="1" type="noConversion"/>
  </si>
  <si>
    <t>BlendOutTime</t>
    <phoneticPr fontId="1" type="noConversion"/>
  </si>
  <si>
    <t>블렌드 인 시간</t>
    <phoneticPr fontId="1" type="noConversion"/>
  </si>
  <si>
    <t>블렌드 아웃 시간</t>
    <phoneticPr fontId="1" type="noConversion"/>
  </si>
  <si>
    <t>playerLevel</t>
    <phoneticPr fontId="1" type="noConversion"/>
  </si>
  <si>
    <t>Attunement</t>
  </si>
  <si>
    <t>지구력</t>
    <phoneticPr fontId="1" type="noConversion"/>
  </si>
  <si>
    <t>근력</t>
    <phoneticPr fontId="1" type="noConversion"/>
  </si>
  <si>
    <t>총 레벨</t>
    <phoneticPr fontId="1" type="noConversion"/>
  </si>
  <si>
    <t>생명력</t>
    <phoneticPr fontId="1" type="noConversion"/>
  </si>
  <si>
    <t>체력</t>
    <phoneticPr fontId="1" type="noConversion"/>
  </si>
  <si>
    <t>기량</t>
    <phoneticPr fontId="1" type="noConversion"/>
  </si>
  <si>
    <t>지성</t>
    <phoneticPr fontId="1" type="noConversion"/>
  </si>
  <si>
    <t>신앙</t>
    <phoneticPr fontId="1" type="noConversion"/>
  </si>
  <si>
    <t>운</t>
    <phoneticPr fontId="1" type="noConversion"/>
  </si>
  <si>
    <t>왼손 무기1</t>
    <phoneticPr fontId="1" type="noConversion"/>
  </si>
  <si>
    <t>왼손 무기2</t>
    <phoneticPr fontId="1" type="noConversion"/>
  </si>
  <si>
    <t>왼손 무기3</t>
    <phoneticPr fontId="1" type="noConversion"/>
  </si>
  <si>
    <t>오른손 무기1</t>
    <phoneticPr fontId="1" type="noConversion"/>
  </si>
  <si>
    <t>오른손 무기2</t>
  </si>
  <si>
    <t>오른손 무기3</t>
  </si>
  <si>
    <t>머리</t>
    <phoneticPr fontId="1" type="noConversion"/>
  </si>
  <si>
    <t>가슴</t>
    <phoneticPr fontId="1" type="noConversion"/>
  </si>
  <si>
    <t>손</t>
    <phoneticPr fontId="1" type="noConversion"/>
  </si>
  <si>
    <t>다리</t>
    <phoneticPr fontId="1" type="noConversion"/>
  </si>
  <si>
    <t>스펠1</t>
    <phoneticPr fontId="1" type="noConversion"/>
  </si>
  <si>
    <t>스펠2</t>
    <phoneticPr fontId="1" type="noConversion"/>
  </si>
  <si>
    <t>반지</t>
    <phoneticPr fontId="1" type="noConversion"/>
  </si>
  <si>
    <t>아이템1</t>
    <phoneticPr fontId="1" type="noConversion"/>
  </si>
  <si>
    <t>Knight</t>
    <phoneticPr fontId="1" type="noConversion"/>
  </si>
  <si>
    <t>Mercenary</t>
    <phoneticPr fontId="1" type="noConversion"/>
  </si>
  <si>
    <t>Warrior</t>
    <phoneticPr fontId="1" type="noConversion"/>
  </si>
  <si>
    <t>Herald</t>
    <phoneticPr fontId="1" type="noConversion"/>
  </si>
  <si>
    <t>Thief</t>
    <phoneticPr fontId="1" type="noConversion"/>
  </si>
  <si>
    <t>Assassin</t>
    <phoneticPr fontId="1" type="noConversion"/>
  </si>
  <si>
    <t>Sorcerer</t>
    <phoneticPr fontId="1" type="noConversion"/>
  </si>
  <si>
    <t>Pyromancer</t>
    <phoneticPr fontId="1" type="noConversion"/>
  </si>
  <si>
    <t>Cleric</t>
    <phoneticPr fontId="1" type="noConversion"/>
  </si>
  <si>
    <t>Deprived</t>
    <phoneticPr fontId="1" type="noConversion"/>
  </si>
  <si>
    <t>집중력</t>
    <phoneticPr fontId="1" type="noConversion"/>
  </si>
  <si>
    <t>Vigor</t>
    <phoneticPr fontId="1" type="noConversion"/>
  </si>
  <si>
    <t>Endurance</t>
  </si>
  <si>
    <t>Vitality</t>
  </si>
  <si>
    <t>Strength</t>
    <phoneticPr fontId="1" type="noConversion"/>
  </si>
  <si>
    <t>Dexterity</t>
    <phoneticPr fontId="1" type="noConversion"/>
  </si>
  <si>
    <t>Intelligence</t>
    <phoneticPr fontId="1" type="noConversion"/>
  </si>
  <si>
    <t>Faith</t>
    <phoneticPr fontId="1" type="noConversion"/>
  </si>
  <si>
    <t>Luck</t>
    <phoneticPr fontId="1" type="noConversion"/>
  </si>
  <si>
    <t>LeftHand1</t>
    <phoneticPr fontId="1" type="noConversion"/>
  </si>
  <si>
    <t>LeftHand2</t>
  </si>
  <si>
    <t>LeftHand3</t>
  </si>
  <si>
    <t>RightHand1</t>
    <phoneticPr fontId="1" type="noConversion"/>
  </si>
  <si>
    <t>RightHand2</t>
  </si>
  <si>
    <t>RightHand3</t>
  </si>
  <si>
    <t>Head</t>
    <phoneticPr fontId="1" type="noConversion"/>
  </si>
  <si>
    <t>Chest</t>
    <phoneticPr fontId="1" type="noConversion"/>
  </si>
  <si>
    <t>Hand</t>
    <phoneticPr fontId="1" type="noConversion"/>
  </si>
  <si>
    <t>Leg</t>
    <phoneticPr fontId="1" type="noConversion"/>
  </si>
  <si>
    <t>Spell1</t>
    <phoneticPr fontId="1" type="noConversion"/>
  </si>
  <si>
    <t>Spell2</t>
    <phoneticPr fontId="1" type="noConversion"/>
  </si>
  <si>
    <t>Item1</t>
    <phoneticPr fontId="1" type="noConversion"/>
  </si>
  <si>
    <t>Ring</t>
    <phoneticPr fontId="1" type="noConversion"/>
  </si>
  <si>
    <t>ClassDescrition</t>
    <phoneticPr fontId="1" type="noConversion"/>
  </si>
  <si>
    <t>직업 설명</t>
    <phoneticPr fontId="1" type="noConversion"/>
  </si>
  <si>
    <t>An obscure knight of poor renown who collapsed roaming the land. Sturdy, owing to high vitality and stout armor.</t>
    <phoneticPr fontId="1" type="noConversion"/>
  </si>
  <si>
    <t>A mercenary and veteran of the battlefield. High dexterity allows masterful wielding of dual scimitars.</t>
    <phoneticPr fontId="1" type="noConversion"/>
  </si>
  <si>
    <t>Descendant of northern warriors famed for their brawn. Utilizes high strength to wield a heavy battleaxe.</t>
    <phoneticPr fontId="1" type="noConversion"/>
  </si>
  <si>
    <t>A former herald who journeyed to finish a quest undertaken. Wields a sturdy spear and employs a gentle restorative miracle.</t>
    <phoneticPr fontId="1" type="noConversion"/>
  </si>
  <si>
    <t>A common thief and pitiful deserter. Wields a dagger intended for backstabs alongside a military-issue bow.</t>
    <phoneticPr fontId="1" type="noConversion"/>
  </si>
  <si>
    <t>An assassin who stalks their prey from the shadows. Favors sorceries in addition to thrusting swords.</t>
    <phoneticPr fontId="1" type="noConversion"/>
  </si>
  <si>
    <t>A loner who left formal academia to pursue further research. Commands soul sorceries using high intelligence."</t>
    <phoneticPr fontId="1" type="noConversion"/>
  </si>
  <si>
    <t>A pyromancer from a remote region who manipulates flame. Also an adept close combat warrior who wields a hand axe.</t>
    <phoneticPr fontId="1" type="noConversion"/>
  </si>
  <si>
    <t>A traveling cleric who collapsed from exhaustion. Channels high faith to cast many and varied miracles.</t>
    <phoneticPr fontId="1" type="noConversion"/>
  </si>
  <si>
    <t>Naked and of unknown origin. Either an unimaginable fool in life, or was stripped of possessions upon burial.</t>
    <phoneticPr fontId="1" type="noConversion"/>
  </si>
  <si>
    <t>CONCAT(VLOOKUP(C3, $I$3:$J$5, 2), B3)</t>
  </si>
  <si>
    <t>CONCAT(VLOOKUP(C3, $I$7:$J$9, 2), B3)</t>
  </si>
  <si>
    <t>Fire Buff Item</t>
  </si>
  <si>
    <t>Firebomb</t>
  </si>
  <si>
    <t>PuppleMossClump</t>
  </si>
  <si>
    <t>아이템 효과</t>
    <phoneticPr fontId="1" type="noConversion"/>
  </si>
  <si>
    <t>능력 보정 - 근력</t>
    <phoneticPr fontId="1" type="noConversion"/>
  </si>
  <si>
    <t>능력 보정 - 기량</t>
    <phoneticPr fontId="1" type="noConversion"/>
  </si>
  <si>
    <t>능력 보정 - 지성</t>
    <phoneticPr fontId="1" type="noConversion"/>
  </si>
  <si>
    <t>능력 보정 - 신앙</t>
    <phoneticPr fontId="1" type="noConversion"/>
  </si>
  <si>
    <t>무제한/소비</t>
    <phoneticPr fontId="1" type="noConversion"/>
  </si>
  <si>
    <t>최대 소지수</t>
    <phoneticPr fontId="1" type="noConversion"/>
  </si>
  <si>
    <t>최대 처장수</t>
    <phoneticPr fontId="1" type="noConversion"/>
  </si>
  <si>
    <t>isLimitied</t>
    <phoneticPr fontId="1" type="noConversion"/>
  </si>
  <si>
    <t>MaxSaveCount</t>
    <phoneticPr fontId="1" type="noConversion"/>
  </si>
  <si>
    <t>MaxCurrentCount</t>
    <phoneticPr fontId="1" type="noConversion"/>
  </si>
  <si>
    <t>ItemEffectDescription</t>
    <phoneticPr fontId="1" type="noConversion"/>
  </si>
  <si>
    <t>The Undead treasure these dull green flasks. Fill with Estus at bonfires, and drink to restore HP. The journey of an Undead has always traced the bonfires, and no journey of import has been made without an Estus Flask</t>
    <phoneticPr fontId="1" type="noConversion"/>
  </si>
  <si>
    <t>icon</t>
    <phoneticPr fontId="1" type="noConversion"/>
  </si>
  <si>
    <t>prefab</t>
    <phoneticPr fontId="1" type="noConversion"/>
  </si>
  <si>
    <t>프리팹</t>
    <phoneticPr fontId="1" type="noConversion"/>
  </si>
  <si>
    <t>아이콘</t>
    <phoneticPr fontId="1" type="noConversion"/>
  </si>
  <si>
    <t>Medicinal purple moss clump. Reduces poison build-up. Cures poison.</t>
    <phoneticPr fontId="1" type="noConversion"/>
  </si>
  <si>
    <t>Medicinal pellet made from crushed insects. The red type temporarily boosts fire damage absorption.</t>
    <phoneticPr fontId="1" type="noConversion"/>
  </si>
  <si>
    <t>Throw at enemies to deal fire damage.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</si>
</sst>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맑은 고딕"/>
      <family val="2"/>
      <charset val="129"/>
      <scheme val="minor"/>
    </font>
    <font>
      <sz val="8"/>
      <name val="맑은 고딕"/>
      <family val="2"/>
      <charset val="129"/>
      <scheme val="minor"/>
    </font>
    <font>
      <sz val="9"/>
      <color indexed="81"/>
      <name val="Tahoma"/>
      <family val="2"/>
    </font>
    <font>
      <b/>
      <sz val="9"/>
      <color indexed="81"/>
      <name val="Tahoma"/>
      <family val="2"/>
    </font>
    <font>
      <sz val="9"/>
      <color indexed="81"/>
      <name val="돋움"/>
      <family val="3"/>
      <charset val="129"/>
    </font>
    <font>
      <b/>
      <sz val="9"/>
      <color indexed="81"/>
      <name val="돋움"/>
      <family val="3"/>
      <charset val="129"/>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3">
    <xf numFmtId="0" fontId="0" fillId="0" borderId="0" xfId="0">
      <alignment vertical="center"/>
    </xf>
    <xf numFmtId="0" fontId="0" fillId="0" borderId="0" xfId="0" applyAlignment="1">
      <alignment horizontal="center" vertical="center"/>
    </xf>
    <xf numFmtId="0" fontId="0" fillId="0" borderId="0" xfId="0" applyAlignment="1">
      <alignment vertical="center"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A12"/>
  <sheetViews>
    <sheetView topLeftCell="B1" workbookViewId="0">
      <selection activeCell="H2" sqref="H1:K2"/>
    </sheetView>
  </sheetViews>
  <sheetFormatPr defaultColWidth="9" defaultRowHeight="16.5" x14ac:dyDescent="0.3"/>
  <cols>
    <col min="1" max="1" width="7.125" style="1" bestFit="1" customWidth="1"/>
    <col min="2" max="2" width="11.625" style="1" bestFit="1" customWidth="1"/>
    <col min="3" max="3" width="11" style="1" bestFit="1" customWidth="1"/>
    <col min="4" max="4" width="7.125" style="1" bestFit="1" customWidth="1"/>
    <col min="5" max="5" width="11.75" style="1" bestFit="1" customWidth="1"/>
    <col min="6" max="6" width="10.5" style="1" bestFit="1" customWidth="1"/>
    <col min="7" max="7" width="7.375" style="1" bestFit="1" customWidth="1"/>
    <col min="8" max="8" width="8.75" style="1" bestFit="1" customWidth="1"/>
    <col min="9" max="9" width="9" style="1" bestFit="1" customWidth="1"/>
    <col min="10" max="10" width="11.5" style="1" bestFit="1" customWidth="1"/>
    <col min="11" max="11" width="5.625" style="1" bestFit="1" customWidth="1"/>
    <col min="12" max="12" width="5.375" style="1" bestFit="1" customWidth="1"/>
    <col min="13" max="15" width="10.625" style="1" bestFit="1" customWidth="1"/>
    <col min="16" max="18" width="12.75" style="1" bestFit="1" customWidth="1"/>
    <col min="19" max="20" width="5.25" style="1" bestFit="1" customWidth="1"/>
    <col min="21" max="21" width="3.375" style="1" bestFit="1" customWidth="1"/>
    <col min="22" max="22" width="5.25" style="1" bestFit="1" customWidth="1"/>
    <col min="23" max="24" width="6.25" style="1" bestFit="1" customWidth="1"/>
    <col min="25" max="25" width="5.25" style="1" bestFit="1" customWidth="1"/>
    <col min="26" max="26" width="8.125" style="1" bestFit="1" customWidth="1"/>
    <col min="27" max="27" width="14.75" style="1" bestFit="1" customWidth="1"/>
    <col min="28" max="16384" width="9" style="1"/>
  </cols>
  <sheetData>
    <row r="1" spans="1:27" x14ac:dyDescent="0.3">
      <c r="A1" s="1" t="s">
        <v>30</v>
      </c>
      <c r="B1" s="1" t="s">
        <v>34</v>
      </c>
      <c r="C1" s="1" t="s">
        <v>214</v>
      </c>
      <c r="D1" s="1" t="s">
        <v>250</v>
      </c>
      <c r="E1" s="1" t="s">
        <v>215</v>
      </c>
      <c r="F1" s="1" t="s">
        <v>251</v>
      </c>
      <c r="G1" s="1" t="s">
        <v>252</v>
      </c>
      <c r="H1" s="1" t="s">
        <v>253</v>
      </c>
      <c r="I1" s="1" t="s">
        <v>254</v>
      </c>
      <c r="J1" s="1" t="s">
        <v>255</v>
      </c>
      <c r="K1" s="1" t="s">
        <v>256</v>
      </c>
      <c r="L1" s="1" t="s">
        <v>257</v>
      </c>
      <c r="M1" s="1" t="s">
        <v>258</v>
      </c>
      <c r="N1" s="1" t="s">
        <v>259</v>
      </c>
      <c r="O1" s="1" t="s">
        <v>260</v>
      </c>
      <c r="P1" s="1" t="s">
        <v>261</v>
      </c>
      <c r="Q1" s="1" t="s">
        <v>262</v>
      </c>
      <c r="R1" s="1" t="s">
        <v>263</v>
      </c>
      <c r="S1" s="1" t="s">
        <v>264</v>
      </c>
      <c r="T1" s="1" t="s">
        <v>265</v>
      </c>
      <c r="U1" s="1" t="s">
        <v>266</v>
      </c>
      <c r="V1" s="1" t="s">
        <v>267</v>
      </c>
      <c r="W1" s="1" t="s">
        <v>268</v>
      </c>
      <c r="X1" s="1" t="s">
        <v>269</v>
      </c>
      <c r="Y1" s="1" t="s">
        <v>271</v>
      </c>
      <c r="Z1" s="1" t="s">
        <v>270</v>
      </c>
      <c r="AA1" s="1" t="s">
        <v>272</v>
      </c>
    </row>
    <row r="2" spans="1:27" x14ac:dyDescent="0.3">
      <c r="A2" s="1" t="s">
        <v>18</v>
      </c>
      <c r="B2" s="1" t="s">
        <v>35</v>
      </c>
      <c r="C2" s="1" t="s">
        <v>218</v>
      </c>
      <c r="D2" s="1" t="s">
        <v>219</v>
      </c>
      <c r="E2" s="1" t="s">
        <v>249</v>
      </c>
      <c r="F2" s="1" t="s">
        <v>216</v>
      </c>
      <c r="G2" s="1" t="s">
        <v>220</v>
      </c>
      <c r="H2" s="1" t="s">
        <v>217</v>
      </c>
      <c r="I2" s="1" t="s">
        <v>221</v>
      </c>
      <c r="J2" s="1" t="s">
        <v>222</v>
      </c>
      <c r="K2" s="1" t="s">
        <v>223</v>
      </c>
      <c r="L2" s="1" t="s">
        <v>224</v>
      </c>
      <c r="M2" s="1" t="s">
        <v>225</v>
      </c>
      <c r="N2" s="1" t="s">
        <v>226</v>
      </c>
      <c r="O2" s="1" t="s">
        <v>227</v>
      </c>
      <c r="P2" s="1" t="s">
        <v>228</v>
      </c>
      <c r="Q2" s="1" t="s">
        <v>229</v>
      </c>
      <c r="R2" s="1" t="s">
        <v>230</v>
      </c>
      <c r="S2" s="1" t="s">
        <v>231</v>
      </c>
      <c r="T2" s="1" t="s">
        <v>232</v>
      </c>
      <c r="U2" s="1" t="s">
        <v>233</v>
      </c>
      <c r="V2" s="1" t="s">
        <v>234</v>
      </c>
      <c r="W2" s="1" t="s">
        <v>235</v>
      </c>
      <c r="X2" s="1" t="s">
        <v>236</v>
      </c>
      <c r="Y2" s="1" t="s">
        <v>237</v>
      </c>
      <c r="Z2" s="1" t="s">
        <v>238</v>
      </c>
      <c r="AA2" s="1" t="s">
        <v>273</v>
      </c>
    </row>
    <row r="3" spans="1:27" x14ac:dyDescent="0.3">
      <c r="A3" s="1">
        <v>1</v>
      </c>
      <c r="B3" s="1" t="s">
        <v>239</v>
      </c>
      <c r="C3" s="1">
        <v>9</v>
      </c>
      <c r="D3" s="1">
        <v>12</v>
      </c>
      <c r="E3" s="1">
        <v>10</v>
      </c>
      <c r="F3" s="1">
        <v>11</v>
      </c>
      <c r="G3" s="1">
        <v>15</v>
      </c>
      <c r="H3" s="1">
        <v>13</v>
      </c>
      <c r="I3" s="1">
        <v>12</v>
      </c>
      <c r="J3" s="1">
        <v>9</v>
      </c>
      <c r="K3" s="1">
        <v>9</v>
      </c>
      <c r="L3" s="1">
        <v>7</v>
      </c>
      <c r="M3" s="1">
        <v>0</v>
      </c>
      <c r="N3" s="1">
        <v>0</v>
      </c>
      <c r="O3" s="1">
        <v>0</v>
      </c>
      <c r="P3" s="1">
        <v>0</v>
      </c>
      <c r="Q3" s="1">
        <v>0</v>
      </c>
      <c r="R3" s="1">
        <v>0</v>
      </c>
      <c r="S3" s="1">
        <v>0</v>
      </c>
      <c r="T3" s="1">
        <v>0</v>
      </c>
      <c r="U3" s="1">
        <v>0</v>
      </c>
      <c r="V3" s="1">
        <v>0</v>
      </c>
      <c r="W3" s="1">
        <v>0</v>
      </c>
      <c r="X3" s="1">
        <v>0</v>
      </c>
      <c r="Y3" s="1">
        <v>0</v>
      </c>
      <c r="Z3" s="1">
        <v>0</v>
      </c>
      <c r="AA3" s="1" t="s">
        <v>274</v>
      </c>
    </row>
    <row r="4" spans="1:27" x14ac:dyDescent="0.3">
      <c r="A4" s="1">
        <v>2</v>
      </c>
      <c r="B4" s="1" t="s">
        <v>240</v>
      </c>
      <c r="C4" s="1">
        <v>8</v>
      </c>
      <c r="D4" s="1">
        <v>11</v>
      </c>
      <c r="E4" s="1">
        <v>12</v>
      </c>
      <c r="F4" s="1">
        <v>11</v>
      </c>
      <c r="G4" s="1">
        <v>10</v>
      </c>
      <c r="H4" s="1">
        <v>10</v>
      </c>
      <c r="I4" s="1">
        <v>16</v>
      </c>
      <c r="J4" s="1">
        <v>10</v>
      </c>
      <c r="K4" s="1">
        <v>8</v>
      </c>
      <c r="L4" s="1">
        <v>9</v>
      </c>
      <c r="M4" s="1">
        <v>0</v>
      </c>
      <c r="N4" s="1">
        <v>0</v>
      </c>
      <c r="O4" s="1">
        <v>0</v>
      </c>
      <c r="P4" s="1">
        <v>0</v>
      </c>
      <c r="Q4" s="1">
        <v>0</v>
      </c>
      <c r="R4" s="1">
        <v>0</v>
      </c>
      <c r="S4" s="1">
        <v>0</v>
      </c>
      <c r="T4" s="1">
        <v>0</v>
      </c>
      <c r="U4" s="1">
        <v>0</v>
      </c>
      <c r="V4" s="1">
        <v>0</v>
      </c>
      <c r="W4" s="1">
        <v>0</v>
      </c>
      <c r="X4" s="1">
        <v>0</v>
      </c>
      <c r="Y4" s="1">
        <v>0</v>
      </c>
      <c r="Z4" s="1">
        <v>0</v>
      </c>
      <c r="AA4" s="1" t="s">
        <v>275</v>
      </c>
    </row>
    <row r="5" spans="1:27" x14ac:dyDescent="0.3">
      <c r="A5" s="1">
        <v>3</v>
      </c>
      <c r="B5" s="1" t="s">
        <v>241</v>
      </c>
      <c r="C5" s="1">
        <v>7</v>
      </c>
      <c r="D5" s="1">
        <v>14</v>
      </c>
      <c r="E5" s="1">
        <v>6</v>
      </c>
      <c r="F5" s="1">
        <v>12</v>
      </c>
      <c r="G5" s="1">
        <v>11</v>
      </c>
      <c r="H5" s="1">
        <v>16</v>
      </c>
      <c r="I5" s="1">
        <v>9</v>
      </c>
      <c r="J5" s="1">
        <v>8</v>
      </c>
      <c r="K5" s="1">
        <v>9</v>
      </c>
      <c r="L5" s="1">
        <v>11</v>
      </c>
      <c r="M5" s="1">
        <v>0</v>
      </c>
      <c r="N5" s="1">
        <v>0</v>
      </c>
      <c r="O5" s="1">
        <v>0</v>
      </c>
      <c r="P5" s="1">
        <v>0</v>
      </c>
      <c r="Q5" s="1">
        <v>0</v>
      </c>
      <c r="R5" s="1">
        <v>0</v>
      </c>
      <c r="S5" s="1">
        <v>0</v>
      </c>
      <c r="T5" s="1">
        <v>0</v>
      </c>
      <c r="U5" s="1">
        <v>0</v>
      </c>
      <c r="V5" s="1">
        <v>0</v>
      </c>
      <c r="W5" s="1">
        <v>0</v>
      </c>
      <c r="X5" s="1">
        <v>0</v>
      </c>
      <c r="Y5" s="1">
        <v>0</v>
      </c>
      <c r="Z5" s="1">
        <v>0</v>
      </c>
      <c r="AA5" s="1" t="s">
        <v>276</v>
      </c>
    </row>
    <row r="6" spans="1:27" x14ac:dyDescent="0.3">
      <c r="A6" s="1">
        <v>4</v>
      </c>
      <c r="B6" s="1" t="s">
        <v>242</v>
      </c>
      <c r="C6" s="1">
        <v>9</v>
      </c>
      <c r="D6" s="1">
        <v>12</v>
      </c>
      <c r="E6" s="1">
        <v>10</v>
      </c>
      <c r="F6" s="1">
        <v>9</v>
      </c>
      <c r="G6" s="1">
        <v>12</v>
      </c>
      <c r="H6" s="1">
        <v>12</v>
      </c>
      <c r="I6" s="1">
        <v>11</v>
      </c>
      <c r="J6" s="1">
        <v>8</v>
      </c>
      <c r="K6" s="1">
        <v>13</v>
      </c>
      <c r="L6" s="1">
        <v>11</v>
      </c>
      <c r="M6" s="1">
        <v>0</v>
      </c>
      <c r="N6" s="1">
        <v>0</v>
      </c>
      <c r="O6" s="1">
        <v>0</v>
      </c>
      <c r="P6" s="1">
        <v>0</v>
      </c>
      <c r="Q6" s="1">
        <v>0</v>
      </c>
      <c r="R6" s="1">
        <v>0</v>
      </c>
      <c r="S6" s="1">
        <v>0</v>
      </c>
      <c r="T6" s="1">
        <v>0</v>
      </c>
      <c r="U6" s="1">
        <v>0</v>
      </c>
      <c r="V6" s="1">
        <v>0</v>
      </c>
      <c r="W6" s="1">
        <v>0</v>
      </c>
      <c r="X6" s="1">
        <v>0</v>
      </c>
      <c r="Y6" s="1">
        <v>0</v>
      </c>
      <c r="Z6" s="1">
        <v>0</v>
      </c>
      <c r="AA6" s="1" t="s">
        <v>277</v>
      </c>
    </row>
    <row r="7" spans="1:27" x14ac:dyDescent="0.3">
      <c r="A7" s="1">
        <v>5</v>
      </c>
      <c r="B7" s="1" t="s">
        <v>243</v>
      </c>
      <c r="C7" s="1">
        <v>5</v>
      </c>
      <c r="D7" s="1">
        <v>10</v>
      </c>
      <c r="E7" s="1">
        <v>11</v>
      </c>
      <c r="F7" s="1">
        <v>10</v>
      </c>
      <c r="G7" s="1">
        <v>9</v>
      </c>
      <c r="H7" s="1">
        <v>9</v>
      </c>
      <c r="I7" s="1">
        <v>13</v>
      </c>
      <c r="J7" s="1">
        <v>10</v>
      </c>
      <c r="K7" s="1">
        <v>8</v>
      </c>
      <c r="L7" s="1">
        <v>14</v>
      </c>
      <c r="M7" s="1">
        <v>0</v>
      </c>
      <c r="N7" s="1">
        <v>0</v>
      </c>
      <c r="O7" s="1">
        <v>0</v>
      </c>
      <c r="P7" s="1">
        <v>0</v>
      </c>
      <c r="Q7" s="1">
        <v>0</v>
      </c>
      <c r="R7" s="1">
        <v>0</v>
      </c>
      <c r="S7" s="1">
        <v>0</v>
      </c>
      <c r="T7" s="1">
        <v>0</v>
      </c>
      <c r="U7" s="1">
        <v>0</v>
      </c>
      <c r="V7" s="1">
        <v>0</v>
      </c>
      <c r="W7" s="1">
        <v>0</v>
      </c>
      <c r="X7" s="1">
        <v>0</v>
      </c>
      <c r="Y7" s="1">
        <v>0</v>
      </c>
      <c r="Z7" s="1">
        <v>0</v>
      </c>
      <c r="AA7" s="1" t="s">
        <v>278</v>
      </c>
    </row>
    <row r="8" spans="1:27" x14ac:dyDescent="0.3">
      <c r="A8" s="1">
        <v>6</v>
      </c>
      <c r="B8" s="1" t="s">
        <v>244</v>
      </c>
      <c r="C8" s="1">
        <v>10</v>
      </c>
      <c r="D8" s="1">
        <v>10</v>
      </c>
      <c r="E8" s="1">
        <v>14</v>
      </c>
      <c r="F8" s="1">
        <v>11</v>
      </c>
      <c r="G8" s="1">
        <v>10</v>
      </c>
      <c r="H8" s="1">
        <v>10</v>
      </c>
      <c r="I8" s="1">
        <v>14</v>
      </c>
      <c r="J8" s="1">
        <v>11</v>
      </c>
      <c r="K8" s="1">
        <v>9</v>
      </c>
      <c r="L8" s="1">
        <v>10</v>
      </c>
      <c r="M8" s="1">
        <v>0</v>
      </c>
      <c r="N8" s="1">
        <v>0</v>
      </c>
      <c r="O8" s="1">
        <v>0</v>
      </c>
      <c r="P8" s="1">
        <v>0</v>
      </c>
      <c r="Q8" s="1">
        <v>0</v>
      </c>
      <c r="R8" s="1">
        <v>0</v>
      </c>
      <c r="S8" s="1">
        <v>0</v>
      </c>
      <c r="T8" s="1">
        <v>0</v>
      </c>
      <c r="U8" s="1">
        <v>0</v>
      </c>
      <c r="V8" s="1">
        <v>0</v>
      </c>
      <c r="W8" s="1">
        <v>0</v>
      </c>
      <c r="X8" s="1">
        <v>0</v>
      </c>
      <c r="Y8" s="1">
        <v>0</v>
      </c>
      <c r="Z8" s="1">
        <v>0</v>
      </c>
      <c r="AA8" s="1" t="s">
        <v>279</v>
      </c>
    </row>
    <row r="9" spans="1:27" x14ac:dyDescent="0.3">
      <c r="A9" s="1">
        <v>7</v>
      </c>
      <c r="B9" s="1" t="s">
        <v>245</v>
      </c>
      <c r="C9" s="1">
        <v>6</v>
      </c>
      <c r="D9" s="1">
        <v>9</v>
      </c>
      <c r="E9" s="1">
        <v>16</v>
      </c>
      <c r="F9" s="1">
        <v>9</v>
      </c>
      <c r="G9" s="1">
        <v>7</v>
      </c>
      <c r="H9" s="1">
        <v>7</v>
      </c>
      <c r="I9" s="1">
        <v>12</v>
      </c>
      <c r="J9" s="1">
        <v>16</v>
      </c>
      <c r="K9" s="1">
        <v>7</v>
      </c>
      <c r="L9" s="1">
        <v>12</v>
      </c>
      <c r="M9" s="1">
        <v>0</v>
      </c>
      <c r="N9" s="1">
        <v>0</v>
      </c>
      <c r="O9" s="1">
        <v>0</v>
      </c>
      <c r="P9" s="1">
        <v>0</v>
      </c>
      <c r="Q9" s="1">
        <v>0</v>
      </c>
      <c r="R9" s="1">
        <v>0</v>
      </c>
      <c r="S9" s="1">
        <v>0</v>
      </c>
      <c r="T9" s="1">
        <v>0</v>
      </c>
      <c r="U9" s="1">
        <v>0</v>
      </c>
      <c r="V9" s="1">
        <v>0</v>
      </c>
      <c r="W9" s="1">
        <v>0</v>
      </c>
      <c r="X9" s="1">
        <v>0</v>
      </c>
      <c r="Y9" s="1">
        <v>0</v>
      </c>
      <c r="Z9" s="1">
        <v>0</v>
      </c>
      <c r="AA9" s="1" t="s">
        <v>280</v>
      </c>
    </row>
    <row r="10" spans="1:27" x14ac:dyDescent="0.3">
      <c r="A10" s="1">
        <v>8</v>
      </c>
      <c r="B10" s="1" t="s">
        <v>246</v>
      </c>
      <c r="C10" s="1">
        <v>8</v>
      </c>
      <c r="D10" s="1">
        <v>11</v>
      </c>
      <c r="E10" s="1">
        <v>12</v>
      </c>
      <c r="F10" s="1">
        <v>10</v>
      </c>
      <c r="G10" s="1">
        <v>8</v>
      </c>
      <c r="H10" s="1">
        <v>12</v>
      </c>
      <c r="I10" s="1">
        <v>9</v>
      </c>
      <c r="J10" s="1">
        <v>14</v>
      </c>
      <c r="K10" s="1">
        <v>14</v>
      </c>
      <c r="L10" s="1">
        <v>7</v>
      </c>
      <c r="M10" s="1">
        <v>0</v>
      </c>
      <c r="N10" s="1">
        <v>0</v>
      </c>
      <c r="O10" s="1">
        <v>0</v>
      </c>
      <c r="P10" s="1">
        <v>0</v>
      </c>
      <c r="Q10" s="1">
        <v>0</v>
      </c>
      <c r="R10" s="1">
        <v>0</v>
      </c>
      <c r="S10" s="1">
        <v>0</v>
      </c>
      <c r="T10" s="1">
        <v>0</v>
      </c>
      <c r="U10" s="1">
        <v>0</v>
      </c>
      <c r="V10" s="1">
        <v>0</v>
      </c>
      <c r="W10" s="1">
        <v>0</v>
      </c>
      <c r="X10" s="1">
        <v>0</v>
      </c>
      <c r="Y10" s="1">
        <v>0</v>
      </c>
      <c r="Z10" s="1">
        <v>0</v>
      </c>
      <c r="AA10" s="1" t="s">
        <v>281</v>
      </c>
    </row>
    <row r="11" spans="1:27" x14ac:dyDescent="0.3">
      <c r="A11" s="1">
        <v>9</v>
      </c>
      <c r="B11" s="1" t="s">
        <v>247</v>
      </c>
      <c r="C11" s="1">
        <v>7</v>
      </c>
      <c r="D11" s="1">
        <v>10</v>
      </c>
      <c r="E11" s="1">
        <v>14</v>
      </c>
      <c r="F11" s="1">
        <v>9</v>
      </c>
      <c r="G11" s="1">
        <v>7</v>
      </c>
      <c r="H11" s="1">
        <v>12</v>
      </c>
      <c r="I11" s="1">
        <v>8</v>
      </c>
      <c r="J11" s="1">
        <v>7</v>
      </c>
      <c r="K11" s="1">
        <v>16</v>
      </c>
      <c r="L11" s="1">
        <v>13</v>
      </c>
      <c r="M11" s="1">
        <v>0</v>
      </c>
      <c r="N11" s="1">
        <v>0</v>
      </c>
      <c r="O11" s="1">
        <v>0</v>
      </c>
      <c r="P11" s="1">
        <v>0</v>
      </c>
      <c r="Q11" s="1">
        <v>0</v>
      </c>
      <c r="R11" s="1">
        <v>0</v>
      </c>
      <c r="S11" s="1">
        <v>0</v>
      </c>
      <c r="T11" s="1">
        <v>0</v>
      </c>
      <c r="U11" s="1">
        <v>0</v>
      </c>
      <c r="V11" s="1">
        <v>0</v>
      </c>
      <c r="W11" s="1">
        <v>0</v>
      </c>
      <c r="X11" s="1">
        <v>0</v>
      </c>
      <c r="Y11" s="1">
        <v>0</v>
      </c>
      <c r="Z11" s="1">
        <v>0</v>
      </c>
      <c r="AA11" s="1" t="s">
        <v>282</v>
      </c>
    </row>
    <row r="12" spans="1:27" x14ac:dyDescent="0.3">
      <c r="A12" s="1">
        <v>10</v>
      </c>
      <c r="B12" s="1" t="s">
        <v>248</v>
      </c>
      <c r="C12" s="1">
        <v>1</v>
      </c>
      <c r="D12" s="1">
        <v>10</v>
      </c>
      <c r="E12" s="1">
        <v>10</v>
      </c>
      <c r="F12" s="1">
        <v>10</v>
      </c>
      <c r="G12" s="1">
        <v>10</v>
      </c>
      <c r="H12" s="1">
        <v>10</v>
      </c>
      <c r="I12" s="1">
        <v>10</v>
      </c>
      <c r="J12" s="1">
        <v>10</v>
      </c>
      <c r="K12" s="1">
        <v>10</v>
      </c>
      <c r="L12" s="1">
        <v>10</v>
      </c>
      <c r="M12" s="1">
        <v>0</v>
      </c>
      <c r="N12" s="1">
        <v>0</v>
      </c>
      <c r="O12" s="1">
        <v>0</v>
      </c>
      <c r="P12" s="1">
        <v>0</v>
      </c>
      <c r="Q12" s="1">
        <v>0</v>
      </c>
      <c r="R12" s="1">
        <v>0</v>
      </c>
      <c r="S12" s="1">
        <v>0</v>
      </c>
      <c r="T12" s="1">
        <v>0</v>
      </c>
      <c r="U12" s="1">
        <v>0</v>
      </c>
      <c r="V12" s="1">
        <v>0</v>
      </c>
      <c r="W12" s="1">
        <v>0</v>
      </c>
      <c r="X12" s="1">
        <v>0</v>
      </c>
      <c r="Y12" s="1">
        <v>0</v>
      </c>
      <c r="Z12" s="1">
        <v>0</v>
      </c>
      <c r="AA12" s="1" t="s">
        <v>283</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P18"/>
  <sheetViews>
    <sheetView tabSelected="1" workbookViewId="0">
      <selection activeCell="E23" sqref="E23"/>
    </sheetView>
  </sheetViews>
  <sheetFormatPr defaultRowHeight="16.5" x14ac:dyDescent="0.3"/>
  <cols>
    <col min="2" max="2" width="18.375" bestFit="1" customWidth="1"/>
    <col min="3" max="4" width="7.125" bestFit="1" customWidth="1"/>
    <col min="5" max="5" width="11.75" bestFit="1" customWidth="1"/>
    <col min="6" max="7" width="11.625" bestFit="1" customWidth="1"/>
    <col min="8" max="8" width="34.625" customWidth="1"/>
    <col min="9" max="12" width="16" bestFit="1" customWidth="1"/>
    <col min="13" max="13" width="31.625" bestFit="1" customWidth="1"/>
  </cols>
  <sheetData>
    <row r="1" spans="1:16" x14ac:dyDescent="0.3">
      <c r="A1" t="s">
        <v>83</v>
      </c>
      <c r="B1" t="s">
        <v>84</v>
      </c>
      <c r="C1" t="s">
        <v>302</v>
      </c>
      <c r="D1" t="s">
        <v>303</v>
      </c>
      <c r="E1" t="s">
        <v>297</v>
      </c>
      <c r="F1" t="s">
        <v>299</v>
      </c>
      <c r="G1" t="s">
        <v>298</v>
      </c>
      <c r="H1" t="s">
        <v>300</v>
      </c>
      <c r="I1" s="1" t="s">
        <v>253</v>
      </c>
      <c r="J1" s="1" t="s">
        <v>254</v>
      </c>
      <c r="K1" s="1" t="s">
        <v>255</v>
      </c>
      <c r="L1" s="1" t="s">
        <v>256</v>
      </c>
    </row>
    <row r="2" spans="1:16" x14ac:dyDescent="0.3">
      <c r="A2" t="s">
        <v>86</v>
      </c>
      <c r="B2" t="s">
        <v>95</v>
      </c>
      <c r="C2" t="s">
        <v>305</v>
      </c>
      <c r="D2" t="s">
        <v>304</v>
      </c>
      <c r="E2" t="s">
        <v>294</v>
      </c>
      <c r="F2" t="s">
        <v>295</v>
      </c>
      <c r="G2" t="s">
        <v>296</v>
      </c>
      <c r="H2" t="s">
        <v>289</v>
      </c>
      <c r="I2" s="1" t="s">
        <v>290</v>
      </c>
      <c r="J2" s="1" t="s">
        <v>291</v>
      </c>
      <c r="K2" s="1" t="s">
        <v>292</v>
      </c>
      <c r="L2" s="1" t="s">
        <v>293</v>
      </c>
    </row>
    <row r="3" spans="1:16" x14ac:dyDescent="0.3">
      <c r="A3">
        <v>1</v>
      </c>
      <c r="B3" t="s">
        <v>168</v>
      </c>
      <c r="E3">
        <v>0</v>
      </c>
      <c r="F3">
        <v>1</v>
      </c>
      <c r="G3">
        <v>0</v>
      </c>
      <c r="H3" t="s">
        <v>301</v>
      </c>
      <c r="I3">
        <v>0</v>
      </c>
      <c r="J3">
        <v>0</v>
      </c>
      <c r="K3">
        <v>0</v>
      </c>
      <c r="L3">
        <v>0</v>
      </c>
    </row>
    <row r="4" spans="1:16" ht="49.5" x14ac:dyDescent="0.3">
      <c r="A4">
        <v>2</v>
      </c>
      <c r="B4" t="s">
        <v>286</v>
      </c>
      <c r="E4">
        <v>1</v>
      </c>
      <c r="F4">
        <v>99</v>
      </c>
      <c r="G4">
        <v>600</v>
      </c>
      <c r="H4" s="2" t="s">
        <v>307</v>
      </c>
      <c r="I4">
        <v>0</v>
      </c>
      <c r="J4">
        <v>0</v>
      </c>
      <c r="K4">
        <v>0</v>
      </c>
      <c r="L4">
        <v>0</v>
      </c>
    </row>
    <row r="5" spans="1:16" x14ac:dyDescent="0.3">
      <c r="A5">
        <v>3</v>
      </c>
      <c r="B5" t="s">
        <v>287</v>
      </c>
      <c r="E5">
        <v>1</v>
      </c>
      <c r="F5">
        <v>99</v>
      </c>
      <c r="G5">
        <v>600</v>
      </c>
      <c r="H5" t="s">
        <v>308</v>
      </c>
      <c r="I5">
        <v>0</v>
      </c>
      <c r="J5">
        <v>0</v>
      </c>
      <c r="K5">
        <v>0</v>
      </c>
      <c r="L5">
        <v>0</v>
      </c>
    </row>
    <row r="6" spans="1:16" x14ac:dyDescent="0.3">
      <c r="A6">
        <v>4</v>
      </c>
      <c r="B6" t="s">
        <v>288</v>
      </c>
      <c r="E6">
        <v>1</v>
      </c>
      <c r="F6">
        <v>99</v>
      </c>
      <c r="G6">
        <v>600</v>
      </c>
      <c r="H6" t="s">
        <v>306</v>
      </c>
      <c r="I6">
        <v>0</v>
      </c>
      <c r="J6">
        <v>0</v>
      </c>
      <c r="K6">
        <v>0</v>
      </c>
      <c r="L6">
        <v>0</v>
      </c>
    </row>
    <row r="8" spans="1:16" x14ac:dyDescent="0.3">
      <c r="P8" t="s">
        <v>196</v>
      </c>
    </row>
    <row r="9" spans="1:16" x14ac:dyDescent="0.3">
      <c r="O9">
        <v>1</v>
      </c>
      <c r="P9" t="s">
        <v>192</v>
      </c>
    </row>
    <row r="10" spans="1:16" x14ac:dyDescent="0.3">
      <c r="O10">
        <v>2</v>
      </c>
      <c r="P10" t="s">
        <v>193</v>
      </c>
    </row>
    <row r="11" spans="1:16" x14ac:dyDescent="0.3">
      <c r="O11">
        <v>3</v>
      </c>
      <c r="P11" t="s">
        <v>194</v>
      </c>
    </row>
    <row r="12" spans="1:16" x14ac:dyDescent="0.3">
      <c r="P12" t="s">
        <v>197</v>
      </c>
    </row>
    <row r="13" spans="1:16" x14ac:dyDescent="0.3">
      <c r="O13">
        <v>1</v>
      </c>
      <c r="P13" t="s">
        <v>198</v>
      </c>
    </row>
    <row r="14" spans="1:16" x14ac:dyDescent="0.3">
      <c r="O14">
        <v>2</v>
      </c>
      <c r="P14" t="s">
        <v>199</v>
      </c>
    </row>
    <row r="15" spans="1:16" x14ac:dyDescent="0.3">
      <c r="O15">
        <v>3</v>
      </c>
      <c r="P15" t="s">
        <v>200</v>
      </c>
    </row>
    <row r="17" spans="15:15" x14ac:dyDescent="0.3">
      <c r="O17" t="s">
        <v>284</v>
      </c>
    </row>
    <row r="18" spans="15:15" x14ac:dyDescent="0.3">
      <c r="O18" t="s">
        <v>285</v>
      </c>
    </row>
  </sheetData>
  <phoneticPr fontId="1"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5"/>
  <sheetViews>
    <sheetView workbookViewId="0">
      <selection activeCell="M19" sqref="M19"/>
    </sheetView>
  </sheetViews>
  <sheetFormatPr defaultColWidth="9" defaultRowHeight="16.5" x14ac:dyDescent="0.3"/>
  <cols>
    <col min="1" max="1" width="10.375" style="1" bestFit="1" customWidth="1"/>
    <col min="2" max="2" width="11" style="1" bestFit="1" customWidth="1"/>
    <col min="3" max="3" width="11.625" style="1" bestFit="1" customWidth="1"/>
    <col min="4" max="4" width="13" style="1" bestFit="1" customWidth="1"/>
    <col min="5" max="5" width="12.875" style="1" bestFit="1" customWidth="1"/>
    <col min="6" max="6" width="11" style="1" bestFit="1" customWidth="1"/>
    <col min="7" max="7" width="9.375" style="1" bestFit="1" customWidth="1"/>
    <col min="8" max="8" width="17.75" style="1" bestFit="1" customWidth="1"/>
    <col min="9" max="16384" width="9" style="1"/>
  </cols>
  <sheetData>
    <row r="1" spans="1:8" x14ac:dyDescent="0.3">
      <c r="A1" s="1" t="s">
        <v>0</v>
      </c>
      <c r="B1" s="1" t="s">
        <v>1</v>
      </c>
      <c r="C1" s="1" t="s">
        <v>2</v>
      </c>
      <c r="D1" s="1" t="s">
        <v>3</v>
      </c>
      <c r="E1" s="1" t="s">
        <v>4</v>
      </c>
      <c r="F1" s="1" t="s">
        <v>5</v>
      </c>
      <c r="G1" s="1" t="s">
        <v>6</v>
      </c>
      <c r="H1" s="1" t="s">
        <v>10</v>
      </c>
    </row>
    <row r="2" spans="1:8" x14ac:dyDescent="0.3">
      <c r="A2" s="1" t="s">
        <v>7</v>
      </c>
      <c r="B2" s="1" t="s">
        <v>8</v>
      </c>
      <c r="C2" s="1" t="s">
        <v>9</v>
      </c>
      <c r="D2" s="1" t="s">
        <v>11</v>
      </c>
      <c r="E2" s="1" t="s">
        <v>12</v>
      </c>
      <c r="F2" s="1" t="s">
        <v>13</v>
      </c>
      <c r="G2" s="1" t="s">
        <v>14</v>
      </c>
      <c r="H2" s="1" t="s">
        <v>15</v>
      </c>
    </row>
    <row r="3" spans="1:8" x14ac:dyDescent="0.3">
      <c r="A3" s="1">
        <v>1</v>
      </c>
      <c r="B3" s="1">
        <v>0</v>
      </c>
      <c r="C3" s="1">
        <v>0.1</v>
      </c>
      <c r="D3" s="1">
        <v>0.1</v>
      </c>
      <c r="E3" s="1">
        <v>0.1</v>
      </c>
      <c r="F3" s="1">
        <v>3</v>
      </c>
      <c r="G3" s="1">
        <v>1</v>
      </c>
      <c r="H3" s="1">
        <v>4</v>
      </c>
    </row>
    <row r="4" spans="1:8" x14ac:dyDescent="0.3">
      <c r="A4" s="1">
        <v>2</v>
      </c>
      <c r="B4" s="1">
        <v>0</v>
      </c>
      <c r="C4" s="1">
        <v>0.15</v>
      </c>
      <c r="D4" s="1">
        <v>0.01</v>
      </c>
      <c r="E4" s="1">
        <v>0.05</v>
      </c>
      <c r="F4" s="1">
        <v>5</v>
      </c>
      <c r="G4" s="1">
        <v>0.05</v>
      </c>
      <c r="H4" s="1">
        <v>4</v>
      </c>
    </row>
    <row r="5" spans="1:8" x14ac:dyDescent="0.3">
      <c r="A5" s="1">
        <v>3</v>
      </c>
      <c r="B5" s="1">
        <v>0</v>
      </c>
      <c r="C5" s="1">
        <v>0.3</v>
      </c>
      <c r="D5" s="1">
        <v>0.1</v>
      </c>
      <c r="E5" s="1">
        <v>0.5</v>
      </c>
      <c r="F5" s="1">
        <v>10</v>
      </c>
      <c r="G5" s="1">
        <v>0.2</v>
      </c>
      <c r="H5" s="1">
        <v>4</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A6810-420D-4945-B82E-B89AA29D0280}">
  <sheetPr codeName="Sheet5"/>
  <dimension ref="A1:F5"/>
  <sheetViews>
    <sheetView workbookViewId="0">
      <selection activeCell="G14" sqref="G14"/>
    </sheetView>
  </sheetViews>
  <sheetFormatPr defaultColWidth="9" defaultRowHeight="16.5" x14ac:dyDescent="0.3"/>
  <cols>
    <col min="1" max="1" width="10.375" style="1" bestFit="1" customWidth="1"/>
    <col min="2" max="2" width="11" style="1" bestFit="1" customWidth="1"/>
    <col min="3" max="3" width="11.625" style="1" bestFit="1" customWidth="1"/>
    <col min="4" max="4" width="13" style="1" bestFit="1" customWidth="1"/>
    <col min="5" max="5" width="12.875" style="1" bestFit="1" customWidth="1"/>
    <col min="6" max="6" width="16.5" style="1" bestFit="1" customWidth="1"/>
    <col min="7" max="7" width="9.375" style="1" bestFit="1" customWidth="1"/>
    <col min="8" max="8" width="17.75" style="1" bestFit="1" customWidth="1"/>
    <col min="9" max="16384" width="9" style="1"/>
  </cols>
  <sheetData>
    <row r="1" spans="1:6" x14ac:dyDescent="0.3">
      <c r="A1" s="1" t="s">
        <v>0</v>
      </c>
      <c r="B1" s="1" t="s">
        <v>1</v>
      </c>
      <c r="C1" s="1" t="s">
        <v>206</v>
      </c>
      <c r="D1" s="1" t="s">
        <v>208</v>
      </c>
      <c r="E1" s="1" t="s">
        <v>209</v>
      </c>
      <c r="F1" s="1" t="s">
        <v>211</v>
      </c>
    </row>
    <row r="2" spans="1:6" x14ac:dyDescent="0.3">
      <c r="A2" s="1" t="s">
        <v>7</v>
      </c>
      <c r="B2" s="1" t="s">
        <v>8</v>
      </c>
      <c r="C2" s="1" t="s">
        <v>207</v>
      </c>
      <c r="D2" s="1" t="s">
        <v>212</v>
      </c>
      <c r="E2" s="1" t="s">
        <v>210</v>
      </c>
      <c r="F2" s="1" t="s">
        <v>213</v>
      </c>
    </row>
    <row r="3" spans="1:6" x14ac:dyDescent="0.3">
      <c r="A3" s="1">
        <v>1</v>
      </c>
      <c r="B3" s="1">
        <v>0</v>
      </c>
      <c r="C3" s="1">
        <v>5</v>
      </c>
      <c r="D3" s="1">
        <v>1</v>
      </c>
      <c r="E3" s="1">
        <v>3</v>
      </c>
      <c r="F3" s="1">
        <v>1</v>
      </c>
    </row>
    <row r="4" spans="1:6" x14ac:dyDescent="0.3">
      <c r="A4" s="1">
        <v>2</v>
      </c>
      <c r="B4" s="1">
        <v>1</v>
      </c>
      <c r="C4" s="1">
        <v>10</v>
      </c>
      <c r="D4" s="1">
        <v>2</v>
      </c>
      <c r="E4" s="1">
        <v>4</v>
      </c>
      <c r="F4" s="1">
        <v>2</v>
      </c>
    </row>
    <row r="5" spans="1:6" x14ac:dyDescent="0.3">
      <c r="A5" s="1">
        <v>3</v>
      </c>
      <c r="B5" s="1">
        <v>2</v>
      </c>
      <c r="C5" s="1">
        <v>20</v>
      </c>
      <c r="D5" s="1">
        <v>2</v>
      </c>
      <c r="E5" s="1">
        <v>5</v>
      </c>
      <c r="F5" s="1">
        <v>2</v>
      </c>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3"/>
  <sheetViews>
    <sheetView workbookViewId="0">
      <selection activeCell="D7" sqref="D7"/>
    </sheetView>
  </sheetViews>
  <sheetFormatPr defaultRowHeight="16.5" x14ac:dyDescent="0.3"/>
  <sheetData>
    <row r="1" spans="1:3" x14ac:dyDescent="0.3">
      <c r="A1" t="s">
        <v>16</v>
      </c>
      <c r="B1" t="s">
        <v>17</v>
      </c>
      <c r="C1" t="s">
        <v>27</v>
      </c>
    </row>
    <row r="2" spans="1:3" x14ac:dyDescent="0.3">
      <c r="A2">
        <v>1</v>
      </c>
      <c r="B2">
        <v>1</v>
      </c>
      <c r="C2">
        <v>1800</v>
      </c>
    </row>
    <row r="3" spans="1:3" x14ac:dyDescent="0.3">
      <c r="A3">
        <v>1</v>
      </c>
      <c r="B3">
        <v>1</v>
      </c>
      <c r="C3">
        <v>1100</v>
      </c>
    </row>
  </sheetData>
  <phoneticPr fontId="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7"/>
  <sheetViews>
    <sheetView workbookViewId="0">
      <selection activeCell="I31" sqref="I31"/>
    </sheetView>
  </sheetViews>
  <sheetFormatPr defaultRowHeight="16.5" x14ac:dyDescent="0.3"/>
  <cols>
    <col min="2" max="2" width="15.875" bestFit="1" customWidth="1"/>
  </cols>
  <sheetData>
    <row r="1" spans="1:4" x14ac:dyDescent="0.3">
      <c r="A1" t="s">
        <v>20</v>
      </c>
      <c r="B1" t="s">
        <v>21</v>
      </c>
      <c r="C1" t="s">
        <v>22</v>
      </c>
      <c r="D1" t="s">
        <v>23</v>
      </c>
    </row>
    <row r="2" spans="1:4" x14ac:dyDescent="0.3">
      <c r="A2" t="s">
        <v>24</v>
      </c>
      <c r="B2" t="s">
        <v>21</v>
      </c>
      <c r="C2" t="s">
        <v>22</v>
      </c>
      <c r="D2" t="s">
        <v>23</v>
      </c>
    </row>
    <row r="3" spans="1:4" x14ac:dyDescent="0.3">
      <c r="A3">
        <v>1001</v>
      </c>
      <c r="B3" t="s">
        <v>25</v>
      </c>
    </row>
    <row r="4" spans="1:4" x14ac:dyDescent="0.3">
      <c r="A4">
        <v>10001</v>
      </c>
      <c r="B4" t="s">
        <v>26</v>
      </c>
    </row>
    <row r="5" spans="1:4" x14ac:dyDescent="0.3">
      <c r="A5">
        <v>1800</v>
      </c>
      <c r="B5" t="s">
        <v>28</v>
      </c>
    </row>
    <row r="6" spans="1:4" x14ac:dyDescent="0.3">
      <c r="A6">
        <v>1100</v>
      </c>
      <c r="B6" t="s">
        <v>29</v>
      </c>
    </row>
    <row r="7" spans="1:4" x14ac:dyDescent="0.3">
      <c r="A7">
        <v>2001</v>
      </c>
      <c r="B7" t="s">
        <v>32</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8263F-AEC3-4431-82F8-D93D5650DD0B}">
  <sheetPr codeName="Sheet8"/>
  <dimension ref="A1:E5"/>
  <sheetViews>
    <sheetView workbookViewId="0">
      <selection activeCell="D3" sqref="D3"/>
    </sheetView>
  </sheetViews>
  <sheetFormatPr defaultRowHeight="16.5" x14ac:dyDescent="0.3"/>
  <cols>
    <col min="1" max="1" width="7.125" bestFit="1" customWidth="1"/>
    <col min="2" max="2" width="15.625" bestFit="1" customWidth="1"/>
    <col min="3" max="3" width="8.5" customWidth="1"/>
    <col min="4" max="4" width="35.875" style="1" bestFit="1" customWidth="1"/>
    <col min="5" max="5" width="7.125" bestFit="1" customWidth="1"/>
  </cols>
  <sheetData>
    <row r="1" spans="1:5" x14ac:dyDescent="0.3">
      <c r="A1" t="s">
        <v>30</v>
      </c>
      <c r="B1" t="s">
        <v>50</v>
      </c>
      <c r="C1" s="1" t="s">
        <v>81</v>
      </c>
      <c r="D1" s="1" t="s">
        <v>33</v>
      </c>
      <c r="E1" s="1" t="s">
        <v>76</v>
      </c>
    </row>
    <row r="2" spans="1:5" x14ac:dyDescent="0.3">
      <c r="A2" t="s">
        <v>18</v>
      </c>
      <c r="B2" t="s">
        <v>31</v>
      </c>
      <c r="C2" s="1" t="s">
        <v>35</v>
      </c>
      <c r="D2" s="1" t="s">
        <v>37</v>
      </c>
      <c r="E2" s="1" t="s">
        <v>77</v>
      </c>
    </row>
    <row r="3" spans="1:5" x14ac:dyDescent="0.3">
      <c r="A3">
        <v>101</v>
      </c>
      <c r="B3" t="s">
        <v>155</v>
      </c>
      <c r="C3" s="1">
        <v>1</v>
      </c>
      <c r="D3" s="1" t="s">
        <v>160</v>
      </c>
      <c r="E3">
        <v>1</v>
      </c>
    </row>
    <row r="4" spans="1:5" x14ac:dyDescent="0.3">
      <c r="A4">
        <v>102</v>
      </c>
      <c r="B4" t="s">
        <v>156</v>
      </c>
      <c r="C4" s="1">
        <v>2</v>
      </c>
      <c r="D4" s="1" t="s">
        <v>158</v>
      </c>
      <c r="E4">
        <v>1</v>
      </c>
    </row>
    <row r="5" spans="1:5" x14ac:dyDescent="0.3">
      <c r="A5">
        <v>103</v>
      </c>
      <c r="B5" t="s">
        <v>157</v>
      </c>
      <c r="C5" s="1">
        <v>3</v>
      </c>
      <c r="D5" s="1" t="s">
        <v>159</v>
      </c>
      <c r="E5">
        <v>1</v>
      </c>
    </row>
  </sheetData>
  <phoneticPr fontId="1" type="noConversion"/>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H16"/>
  <sheetViews>
    <sheetView workbookViewId="0">
      <selection activeCell="I4" sqref="I4"/>
    </sheetView>
  </sheetViews>
  <sheetFormatPr defaultColWidth="9" defaultRowHeight="16.5" x14ac:dyDescent="0.3"/>
  <cols>
    <col min="1" max="6" width="9" style="1"/>
    <col min="7" max="7" width="11.375" style="1" customWidth="1"/>
    <col min="8" max="8" width="11.625" style="1" bestFit="1" customWidth="1"/>
    <col min="9" max="16384" width="9" style="1"/>
  </cols>
  <sheetData>
    <row r="1" spans="1:8" x14ac:dyDescent="0.3">
      <c r="A1" s="1" t="s">
        <v>30</v>
      </c>
      <c r="B1" s="1" t="s">
        <v>42</v>
      </c>
      <c r="C1" s="1" t="s">
        <v>106</v>
      </c>
      <c r="D1" s="1" t="s">
        <v>43</v>
      </c>
      <c r="E1" s="1" t="s">
        <v>36</v>
      </c>
      <c r="F1" s="1" t="s">
        <v>44</v>
      </c>
      <c r="G1" s="1" t="s">
        <v>46</v>
      </c>
      <c r="H1" s="1" t="s">
        <v>48</v>
      </c>
    </row>
    <row r="2" spans="1:8" x14ac:dyDescent="0.3">
      <c r="A2" s="1" t="s">
        <v>18</v>
      </c>
      <c r="B2" s="1" t="s">
        <v>39</v>
      </c>
      <c r="C2" s="1" t="s">
        <v>39</v>
      </c>
      <c r="D2" s="1" t="s">
        <v>40</v>
      </c>
      <c r="E2" s="1" t="s">
        <v>38</v>
      </c>
      <c r="F2" s="1" t="s">
        <v>41</v>
      </c>
      <c r="G2" s="1" t="s">
        <v>47</v>
      </c>
      <c r="H2" s="1" t="s">
        <v>49</v>
      </c>
    </row>
    <row r="3" spans="1:8" x14ac:dyDescent="0.3">
      <c r="A3" s="1">
        <v>1</v>
      </c>
      <c r="B3" s="1">
        <v>403</v>
      </c>
      <c r="C3" s="1">
        <v>93</v>
      </c>
      <c r="D3" s="1">
        <v>94</v>
      </c>
      <c r="E3" s="1">
        <v>0</v>
      </c>
      <c r="F3" s="1">
        <v>0</v>
      </c>
      <c r="G3" s="1">
        <v>3</v>
      </c>
      <c r="H3" s="1">
        <v>5</v>
      </c>
    </row>
    <row r="4" spans="1:8" x14ac:dyDescent="0.3">
      <c r="A4" s="1">
        <v>2</v>
      </c>
      <c r="B4" s="1">
        <v>150</v>
      </c>
      <c r="C4" s="1">
        <v>30</v>
      </c>
      <c r="D4" s="1">
        <v>30</v>
      </c>
      <c r="E4" s="1">
        <v>0</v>
      </c>
      <c r="F4" s="1">
        <v>0</v>
      </c>
      <c r="G4" s="1">
        <v>3</v>
      </c>
      <c r="H4" s="1">
        <v>5</v>
      </c>
    </row>
    <row r="5" spans="1:8" x14ac:dyDescent="0.3">
      <c r="A5" s="1">
        <v>101</v>
      </c>
      <c r="B5" s="1">
        <v>170</v>
      </c>
      <c r="C5" s="1">
        <v>0</v>
      </c>
      <c r="D5" s="1">
        <v>0</v>
      </c>
      <c r="E5" s="1">
        <v>5</v>
      </c>
      <c r="F5" s="1">
        <v>1</v>
      </c>
      <c r="G5" s="1">
        <v>2.5</v>
      </c>
      <c r="H5" s="1">
        <v>4</v>
      </c>
    </row>
    <row r="6" spans="1:8" x14ac:dyDescent="0.3">
      <c r="A6" s="1">
        <v>102</v>
      </c>
      <c r="B6" s="1">
        <v>154</v>
      </c>
      <c r="C6" s="1">
        <v>0</v>
      </c>
      <c r="D6" s="1">
        <v>0</v>
      </c>
      <c r="E6" s="1">
        <v>5</v>
      </c>
      <c r="F6" s="1">
        <v>1</v>
      </c>
      <c r="G6" s="1">
        <v>2.5</v>
      </c>
      <c r="H6" s="1">
        <v>4</v>
      </c>
    </row>
    <row r="7" spans="1:8" x14ac:dyDescent="0.3">
      <c r="A7" s="1">
        <v>103</v>
      </c>
      <c r="B7" s="1">
        <v>120</v>
      </c>
      <c r="C7" s="1">
        <v>0</v>
      </c>
      <c r="D7" s="1">
        <v>0</v>
      </c>
      <c r="E7" s="1">
        <v>10</v>
      </c>
      <c r="F7" s="1">
        <v>0</v>
      </c>
      <c r="G7" s="1">
        <v>2</v>
      </c>
      <c r="H7" s="1">
        <v>3</v>
      </c>
    </row>
    <row r="8" spans="1:8" x14ac:dyDescent="0.3">
      <c r="A8" s="1">
        <v>1001</v>
      </c>
      <c r="B8" s="1">
        <v>5000</v>
      </c>
      <c r="C8" s="1">
        <v>0</v>
      </c>
      <c r="D8" s="1">
        <v>0</v>
      </c>
      <c r="E8" s="1">
        <v>10</v>
      </c>
      <c r="F8" s="1">
        <v>5</v>
      </c>
      <c r="G8" s="1">
        <v>2</v>
      </c>
      <c r="H8" s="1">
        <v>2</v>
      </c>
    </row>
    <row r="9" spans="1:8" x14ac:dyDescent="0.3">
      <c r="A9" s="1">
        <v>1002</v>
      </c>
      <c r="B9" s="1">
        <v>1500</v>
      </c>
      <c r="C9" s="1">
        <v>0</v>
      </c>
      <c r="D9" s="1">
        <v>0</v>
      </c>
      <c r="E9" s="1">
        <v>15</v>
      </c>
      <c r="F9" s="1">
        <v>1</v>
      </c>
      <c r="G9" s="1">
        <v>2</v>
      </c>
      <c r="H9" s="1">
        <v>3</v>
      </c>
    </row>
    <row r="14" spans="1:8" x14ac:dyDescent="0.3">
      <c r="G14" s="1">
        <v>1</v>
      </c>
      <c r="H14" s="1" t="s">
        <v>60</v>
      </c>
    </row>
    <row r="15" spans="1:8" x14ac:dyDescent="0.3">
      <c r="G15" s="1">
        <v>11</v>
      </c>
      <c r="H15" s="1" t="s">
        <v>61</v>
      </c>
    </row>
    <row r="16" spans="1:8" x14ac:dyDescent="0.3">
      <c r="G16" s="1">
        <v>101</v>
      </c>
      <c r="H16" s="1" t="s">
        <v>80</v>
      </c>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E502E-0845-4B89-8785-8E93114EFFCE}">
  <sheetPr codeName="Sheet18"/>
  <dimension ref="A1:D6"/>
  <sheetViews>
    <sheetView workbookViewId="0">
      <selection activeCell="G6" sqref="G6"/>
    </sheetView>
  </sheetViews>
  <sheetFormatPr defaultRowHeight="16.5" x14ac:dyDescent="0.3"/>
  <cols>
    <col min="1" max="1" width="6.625" bestFit="1" customWidth="1"/>
    <col min="2" max="2" width="9.875" bestFit="1" customWidth="1"/>
    <col min="3" max="3" width="13.125" bestFit="1" customWidth="1"/>
    <col min="4" max="4" width="5.875" bestFit="1" customWidth="1"/>
  </cols>
  <sheetData>
    <row r="1" spans="1:4" x14ac:dyDescent="0.3">
      <c r="A1" t="s">
        <v>30</v>
      </c>
      <c r="B1" t="s">
        <v>100</v>
      </c>
      <c r="C1" t="s">
        <v>101</v>
      </c>
      <c r="D1" t="s">
        <v>102</v>
      </c>
    </row>
    <row r="2" spans="1:4" x14ac:dyDescent="0.3">
      <c r="A2" t="s">
        <v>18</v>
      </c>
      <c r="B2" t="s">
        <v>103</v>
      </c>
      <c r="C2" t="s">
        <v>104</v>
      </c>
      <c r="D2" t="s">
        <v>105</v>
      </c>
    </row>
    <row r="3" spans="1:4" x14ac:dyDescent="0.3">
      <c r="A3">
        <v>1</v>
      </c>
      <c r="B3">
        <v>20</v>
      </c>
      <c r="C3">
        <v>101</v>
      </c>
      <c r="D3">
        <v>1</v>
      </c>
    </row>
    <row r="4" spans="1:4" x14ac:dyDescent="0.3">
      <c r="A4">
        <v>2</v>
      </c>
      <c r="B4">
        <v>50</v>
      </c>
      <c r="C4">
        <v>2</v>
      </c>
      <c r="D4">
        <v>1</v>
      </c>
    </row>
    <row r="5" spans="1:4" x14ac:dyDescent="0.3">
      <c r="A5">
        <v>3</v>
      </c>
      <c r="B5">
        <v>70</v>
      </c>
      <c r="C5">
        <v>201</v>
      </c>
      <c r="D5">
        <v>2</v>
      </c>
    </row>
    <row r="6" spans="1:4" x14ac:dyDescent="0.3">
      <c r="A6">
        <v>4</v>
      </c>
      <c r="B6">
        <v>100</v>
      </c>
      <c r="C6">
        <v>101</v>
      </c>
      <c r="D6">
        <v>1</v>
      </c>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4"/>
  <sheetViews>
    <sheetView workbookViewId="0">
      <selection activeCell="E4" sqref="E4"/>
    </sheetView>
  </sheetViews>
  <sheetFormatPr defaultRowHeight="16.5" x14ac:dyDescent="0.3"/>
  <cols>
    <col min="1" max="1" width="7.125" bestFit="1" customWidth="1"/>
    <col min="2" max="2" width="11.625" customWidth="1"/>
    <col min="3" max="3" width="10.125" customWidth="1"/>
    <col min="4" max="4" width="12.125" bestFit="1" customWidth="1"/>
    <col min="5" max="5" width="11.625" bestFit="1" customWidth="1"/>
    <col min="6" max="6" width="27" style="1" bestFit="1" customWidth="1"/>
  </cols>
  <sheetData>
    <row r="1" spans="1:7" x14ac:dyDescent="0.3">
      <c r="A1" t="s">
        <v>30</v>
      </c>
      <c r="B1" t="s">
        <v>50</v>
      </c>
      <c r="C1" t="s">
        <v>81</v>
      </c>
      <c r="D1" t="s">
        <v>62</v>
      </c>
      <c r="E1" t="s">
        <v>63</v>
      </c>
      <c r="F1" s="1" t="s">
        <v>33</v>
      </c>
      <c r="G1" s="1" t="s">
        <v>76</v>
      </c>
    </row>
    <row r="2" spans="1:7" x14ac:dyDescent="0.3">
      <c r="A2" t="s">
        <v>18</v>
      </c>
      <c r="B2" t="s">
        <v>31</v>
      </c>
      <c r="C2" t="s">
        <v>82</v>
      </c>
      <c r="D2" t="s">
        <v>64</v>
      </c>
      <c r="E2" t="s">
        <v>65</v>
      </c>
      <c r="F2" s="1" t="s">
        <v>37</v>
      </c>
      <c r="G2" s="1" t="s">
        <v>77</v>
      </c>
    </row>
    <row r="3" spans="1:7" x14ac:dyDescent="0.3">
      <c r="A3">
        <v>1001</v>
      </c>
      <c r="B3" t="s">
        <v>161</v>
      </c>
      <c r="C3">
        <v>1</v>
      </c>
      <c r="D3">
        <v>10000</v>
      </c>
      <c r="E3">
        <v>0</v>
      </c>
      <c r="F3" s="1" t="s">
        <v>78</v>
      </c>
      <c r="G3">
        <v>1</v>
      </c>
    </row>
    <row r="4" spans="1:7" x14ac:dyDescent="0.3">
      <c r="A4">
        <v>1002</v>
      </c>
      <c r="B4" t="s">
        <v>153</v>
      </c>
      <c r="C4">
        <v>1</v>
      </c>
      <c r="D4">
        <v>10000</v>
      </c>
      <c r="E4">
        <v>4</v>
      </c>
      <c r="F4" s="1" t="s">
        <v>154</v>
      </c>
      <c r="G4">
        <v>1</v>
      </c>
    </row>
  </sheetData>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15"/>
  <sheetViews>
    <sheetView topLeftCell="A7" workbookViewId="0">
      <selection activeCell="E8" sqref="E8"/>
    </sheetView>
  </sheetViews>
  <sheetFormatPr defaultRowHeight="16.5" x14ac:dyDescent="0.3"/>
  <cols>
    <col min="1" max="1" width="9.125" bestFit="1" customWidth="1"/>
    <col min="2" max="2" width="37" bestFit="1" customWidth="1"/>
    <col min="3" max="3" width="15.75" bestFit="1" customWidth="1"/>
  </cols>
  <sheetData>
    <row r="1" spans="1:3" x14ac:dyDescent="0.3">
      <c r="A1" t="s">
        <v>83</v>
      </c>
      <c r="B1" t="s">
        <v>84</v>
      </c>
      <c r="C1" t="s">
        <v>85</v>
      </c>
    </row>
    <row r="2" spans="1:3" x14ac:dyDescent="0.3">
      <c r="A2" t="s">
        <v>86</v>
      </c>
      <c r="B2" t="s">
        <v>87</v>
      </c>
      <c r="C2" t="s">
        <v>88</v>
      </c>
    </row>
    <row r="3" spans="1:3" x14ac:dyDescent="0.3">
      <c r="A3">
        <v>1</v>
      </c>
      <c r="B3" t="s">
        <v>183</v>
      </c>
      <c r="C3">
        <f>A4</f>
        <v>2</v>
      </c>
    </row>
    <row r="4" spans="1:3" x14ac:dyDescent="0.3">
      <c r="A4">
        <v>2</v>
      </c>
      <c r="B4" t="s">
        <v>184</v>
      </c>
      <c r="C4">
        <f>A5</f>
        <v>3</v>
      </c>
    </row>
    <row r="5" spans="1:3" x14ac:dyDescent="0.3">
      <c r="A5">
        <v>3</v>
      </c>
      <c r="B5" t="s">
        <v>185</v>
      </c>
      <c r="C5">
        <v>0</v>
      </c>
    </row>
    <row r="6" spans="1:3" x14ac:dyDescent="0.3">
      <c r="A6">
        <v>4</v>
      </c>
      <c r="B6" t="s">
        <v>186</v>
      </c>
      <c r="C6">
        <v>5</v>
      </c>
    </row>
    <row r="7" spans="1:3" x14ac:dyDescent="0.3">
      <c r="A7">
        <v>5</v>
      </c>
      <c r="B7" t="s">
        <v>187</v>
      </c>
      <c r="C7">
        <v>4</v>
      </c>
    </row>
    <row r="8" spans="1:3" x14ac:dyDescent="0.3">
      <c r="A8">
        <v>6</v>
      </c>
      <c r="B8" t="s">
        <v>188</v>
      </c>
      <c r="C8">
        <v>7</v>
      </c>
    </row>
    <row r="9" spans="1:3" x14ac:dyDescent="0.3">
      <c r="A9">
        <v>7</v>
      </c>
      <c r="B9" t="s">
        <v>189</v>
      </c>
      <c r="C9">
        <v>6</v>
      </c>
    </row>
    <row r="10" spans="1:3" x14ac:dyDescent="0.3">
      <c r="A10">
        <v>8</v>
      </c>
      <c r="B10" t="s">
        <v>204</v>
      </c>
      <c r="C10">
        <f>A11</f>
        <v>9</v>
      </c>
    </row>
    <row r="11" spans="1:3" x14ac:dyDescent="0.3">
      <c r="A11">
        <v>9</v>
      </c>
      <c r="B11" t="s">
        <v>205</v>
      </c>
      <c r="C11">
        <v>0</v>
      </c>
    </row>
    <row r="12" spans="1:3" x14ac:dyDescent="0.3">
      <c r="A12">
        <v>101</v>
      </c>
      <c r="B12" t="s">
        <v>180</v>
      </c>
      <c r="C12">
        <v>0</v>
      </c>
    </row>
    <row r="13" spans="1:3" x14ac:dyDescent="0.3">
      <c r="A13">
        <v>102</v>
      </c>
      <c r="B13" t="s">
        <v>179</v>
      </c>
      <c r="C13">
        <v>0</v>
      </c>
    </row>
    <row r="14" spans="1:3" x14ac:dyDescent="0.3">
      <c r="A14">
        <v>103</v>
      </c>
      <c r="B14" t="s">
        <v>181</v>
      </c>
      <c r="C14">
        <v>0</v>
      </c>
    </row>
    <row r="15" spans="1:3" x14ac:dyDescent="0.3">
      <c r="A15">
        <v>104</v>
      </c>
      <c r="B15" t="s">
        <v>182</v>
      </c>
      <c r="C15">
        <v>0</v>
      </c>
    </row>
  </sheetData>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99905-1D6B-4F1F-99C3-21F9C366F87F}">
  <sheetPr codeName="Sheet12"/>
  <dimension ref="A1:H2"/>
  <sheetViews>
    <sheetView workbookViewId="0">
      <selection activeCell="J7" sqref="J7"/>
    </sheetView>
  </sheetViews>
  <sheetFormatPr defaultColWidth="8.625" defaultRowHeight="16.5" x14ac:dyDescent="0.3"/>
  <cols>
    <col min="1" max="1" width="6.625" style="1" bestFit="1" customWidth="1"/>
    <col min="2" max="2" width="9.125" style="1" bestFit="1" customWidth="1"/>
    <col min="3" max="3" width="6.625" style="1" bestFit="1" customWidth="1"/>
    <col min="4" max="4" width="9.125" style="1" bestFit="1" customWidth="1"/>
    <col min="5" max="5" width="8.875" style="1" bestFit="1" customWidth="1"/>
    <col min="6" max="6" width="8.5" style="1" bestFit="1" customWidth="1"/>
    <col min="7" max="7" width="15.75" style="1" bestFit="1" customWidth="1"/>
    <col min="8" max="8" width="15" style="1" bestFit="1" customWidth="1"/>
    <col min="9" max="16384" width="8.625" style="1"/>
  </cols>
  <sheetData>
    <row r="1" spans="1:8" x14ac:dyDescent="0.3">
      <c r="A1" s="1" t="s">
        <v>30</v>
      </c>
      <c r="B1" s="1" t="s">
        <v>50</v>
      </c>
      <c r="C1" s="1" t="s">
        <v>59</v>
      </c>
      <c r="D1" s="1" t="s">
        <v>58</v>
      </c>
      <c r="E1" s="1" t="s">
        <v>54</v>
      </c>
      <c r="F1" s="1" t="s">
        <v>55</v>
      </c>
      <c r="G1" s="1" t="s">
        <v>56</v>
      </c>
      <c r="H1" s="1" t="s">
        <v>66</v>
      </c>
    </row>
    <row r="2" spans="1:8" x14ac:dyDescent="0.3">
      <c r="A2" s="1" t="s">
        <v>18</v>
      </c>
      <c r="B2" s="1" t="s">
        <v>51</v>
      </c>
      <c r="C2" s="1" t="s">
        <v>38</v>
      </c>
      <c r="D2" s="1" t="s">
        <v>45</v>
      </c>
      <c r="E2" s="1" t="s">
        <v>57</v>
      </c>
      <c r="F2" s="1" t="s">
        <v>52</v>
      </c>
      <c r="G2" s="1" t="s">
        <v>53</v>
      </c>
      <c r="H2" s="1" t="s">
        <v>67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F3"/>
  <sheetViews>
    <sheetView workbookViewId="0">
      <selection activeCell="D8" sqref="D8"/>
    </sheetView>
  </sheetViews>
  <sheetFormatPr defaultRowHeight="16.5" x14ac:dyDescent="0.3"/>
  <cols>
    <col min="3" max="3" width="13.75" bestFit="1" customWidth="1"/>
    <col min="4" max="4" width="27" bestFit="1" customWidth="1"/>
    <col min="5" max="5" width="20.875" bestFit="1" customWidth="1"/>
    <col min="6" max="6" width="11.125" bestFit="1" customWidth="1"/>
  </cols>
  <sheetData>
    <row r="1" spans="1:6" x14ac:dyDescent="0.3">
      <c r="A1" t="s">
        <v>30</v>
      </c>
      <c r="B1" t="s">
        <v>17</v>
      </c>
      <c r="C1" t="s">
        <v>68</v>
      </c>
      <c r="D1" t="s">
        <v>69</v>
      </c>
      <c r="E1" t="s">
        <v>70</v>
      </c>
      <c r="F1" t="s">
        <v>71</v>
      </c>
    </row>
    <row r="2" spans="1:6" x14ac:dyDescent="0.3">
      <c r="A2" t="s">
        <v>18</v>
      </c>
      <c r="B2" t="s">
        <v>19</v>
      </c>
      <c r="C2" t="s">
        <v>72</v>
      </c>
      <c r="D2" t="s">
        <v>73</v>
      </c>
      <c r="E2" t="s">
        <v>75</v>
      </c>
      <c r="F2" t="s">
        <v>74</v>
      </c>
    </row>
    <row r="3" spans="1:6" x14ac:dyDescent="0.3">
      <c r="A3">
        <v>1</v>
      </c>
      <c r="B3">
        <v>0</v>
      </c>
      <c r="C3">
        <v>4</v>
      </c>
      <c r="D3">
        <v>2</v>
      </c>
      <c r="E3">
        <v>15</v>
      </c>
      <c r="F3">
        <v>90</v>
      </c>
    </row>
  </sheetData>
  <phoneticPr fontId="1" type="noConversion"/>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1CE6-3193-4C29-9E47-22C07AEED831}">
  <sheetPr codeName="Sheet15"/>
  <dimension ref="A1:E10"/>
  <sheetViews>
    <sheetView workbookViewId="0">
      <selection activeCell="G11" sqref="G11"/>
    </sheetView>
  </sheetViews>
  <sheetFormatPr defaultRowHeight="16.5" x14ac:dyDescent="0.3"/>
  <cols>
    <col min="2" max="2" width="13.125" bestFit="1" customWidth="1"/>
    <col min="3" max="3" width="12.875" bestFit="1" customWidth="1"/>
    <col min="4" max="4" width="21.75" bestFit="1" customWidth="1"/>
    <col min="5" max="5" width="11.625" bestFit="1" customWidth="1"/>
    <col min="6" max="6" width="24.625" bestFit="1" customWidth="1"/>
    <col min="7" max="7" width="35.125" bestFit="1" customWidth="1"/>
  </cols>
  <sheetData>
    <row r="1" spans="1:5" x14ac:dyDescent="0.3">
      <c r="A1" t="s">
        <v>30</v>
      </c>
      <c r="B1" t="s">
        <v>50</v>
      </c>
      <c r="C1" t="s">
        <v>89</v>
      </c>
      <c r="D1" t="s">
        <v>169</v>
      </c>
      <c r="E1" t="s">
        <v>177</v>
      </c>
    </row>
    <row r="2" spans="1:5" x14ac:dyDescent="0.3">
      <c r="A2" t="s">
        <v>18</v>
      </c>
      <c r="B2" t="s">
        <v>31</v>
      </c>
      <c r="C2" t="s">
        <v>90</v>
      </c>
      <c r="D2" t="s">
        <v>170</v>
      </c>
      <c r="E2" t="s">
        <v>178</v>
      </c>
    </row>
    <row r="3" spans="1:5" x14ac:dyDescent="0.3">
      <c r="A3">
        <v>1</v>
      </c>
      <c r="B3" t="s">
        <v>162</v>
      </c>
      <c r="C3">
        <v>1</v>
      </c>
      <c r="D3">
        <v>65</v>
      </c>
      <c r="E3">
        <v>0</v>
      </c>
    </row>
    <row r="4" spans="1:5" x14ac:dyDescent="0.3">
      <c r="A4">
        <v>2</v>
      </c>
      <c r="B4" t="s">
        <v>163</v>
      </c>
      <c r="C4">
        <v>1</v>
      </c>
      <c r="D4">
        <v>60</v>
      </c>
      <c r="E4">
        <v>0</v>
      </c>
    </row>
    <row r="5" spans="1:5" x14ac:dyDescent="0.3">
      <c r="A5">
        <v>3</v>
      </c>
      <c r="B5" t="s">
        <v>202</v>
      </c>
      <c r="C5">
        <v>1</v>
      </c>
      <c r="D5">
        <v>64</v>
      </c>
      <c r="E5">
        <v>0</v>
      </c>
    </row>
    <row r="6" spans="1:5" x14ac:dyDescent="0.3">
      <c r="A6">
        <v>4</v>
      </c>
      <c r="B6" t="s">
        <v>201</v>
      </c>
      <c r="C6">
        <v>2</v>
      </c>
      <c r="D6">
        <v>99</v>
      </c>
      <c r="E6">
        <v>0</v>
      </c>
    </row>
    <row r="7" spans="1:5" x14ac:dyDescent="0.3">
      <c r="A7">
        <v>5</v>
      </c>
      <c r="B7" t="s">
        <v>171</v>
      </c>
      <c r="C7">
        <v>2</v>
      </c>
      <c r="D7">
        <v>117</v>
      </c>
      <c r="E7">
        <v>0</v>
      </c>
    </row>
    <row r="8" spans="1:5" x14ac:dyDescent="0.3">
      <c r="A8">
        <v>6</v>
      </c>
      <c r="B8" t="s">
        <v>164</v>
      </c>
      <c r="C8">
        <v>2</v>
      </c>
      <c r="D8">
        <v>70</v>
      </c>
      <c r="E8">
        <v>0</v>
      </c>
    </row>
    <row r="9" spans="1:5" x14ac:dyDescent="0.3">
      <c r="A9">
        <v>7</v>
      </c>
      <c r="B9" t="s">
        <v>195</v>
      </c>
      <c r="C9">
        <v>5</v>
      </c>
      <c r="D9">
        <v>95</v>
      </c>
      <c r="E9">
        <v>0</v>
      </c>
    </row>
    <row r="10" spans="1:5" x14ac:dyDescent="0.3">
      <c r="A10">
        <v>8</v>
      </c>
      <c r="B10" t="s">
        <v>203</v>
      </c>
      <c r="C10">
        <v>25</v>
      </c>
      <c r="D10">
        <v>65</v>
      </c>
      <c r="E10">
        <v>100</v>
      </c>
    </row>
  </sheetData>
  <phoneticPr fontId="1" type="noConversion"/>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36EFC-A7A4-46BB-9EFF-A5367C45F8A4}">
  <dimension ref="A1:E2"/>
  <sheetViews>
    <sheetView workbookViewId="0">
      <selection activeCell="G18" sqref="G18"/>
    </sheetView>
  </sheetViews>
  <sheetFormatPr defaultRowHeight="16.5" x14ac:dyDescent="0.3"/>
  <cols>
    <col min="1" max="1" width="6.625" bestFit="1" customWidth="1"/>
    <col min="2" max="2" width="6.125" bestFit="1" customWidth="1"/>
    <col min="3" max="3" width="12.25" bestFit="1" customWidth="1"/>
    <col min="4" max="4" width="7.625" bestFit="1" customWidth="1"/>
    <col min="5" max="5" width="17.5" bestFit="1" customWidth="1"/>
  </cols>
  <sheetData>
    <row r="1" spans="1:5" x14ac:dyDescent="0.3">
      <c r="A1" t="s">
        <v>30</v>
      </c>
      <c r="B1" t="s">
        <v>50</v>
      </c>
      <c r="C1" t="s">
        <v>191</v>
      </c>
      <c r="D1" t="s">
        <v>169</v>
      </c>
      <c r="E1" t="s">
        <v>177</v>
      </c>
    </row>
    <row r="2" spans="1:5" x14ac:dyDescent="0.3">
      <c r="A2" t="s">
        <v>18</v>
      </c>
      <c r="B2" t="s">
        <v>31</v>
      </c>
      <c r="C2" t="s">
        <v>190</v>
      </c>
      <c r="D2" t="s">
        <v>170</v>
      </c>
      <c r="E2" t="s">
        <v>178</v>
      </c>
    </row>
  </sheetData>
  <phoneticPr fontId="1"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ECFED-5AF5-4048-9A60-146D7456139E}">
  <sheetPr codeName="Sheet16"/>
  <dimension ref="A1:D6"/>
  <sheetViews>
    <sheetView workbookViewId="0">
      <selection activeCell="D1" sqref="D1"/>
    </sheetView>
  </sheetViews>
  <sheetFormatPr defaultRowHeight="16.5" x14ac:dyDescent="0.3"/>
  <cols>
    <col min="2" max="2" width="18.125" bestFit="1" customWidth="1"/>
    <col min="3" max="3" width="9.5" bestFit="1" customWidth="1"/>
    <col min="4" max="4" width="24.625" bestFit="1" customWidth="1"/>
    <col min="5" max="5" width="35.125" bestFit="1" customWidth="1"/>
  </cols>
  <sheetData>
    <row r="1" spans="1:4" x14ac:dyDescent="0.3">
      <c r="A1" t="s">
        <v>30</v>
      </c>
      <c r="B1" t="s">
        <v>50</v>
      </c>
      <c r="C1" t="s">
        <v>176</v>
      </c>
      <c r="D1" t="s">
        <v>173</v>
      </c>
    </row>
    <row r="2" spans="1:4" x14ac:dyDescent="0.3">
      <c r="A2" t="s">
        <v>18</v>
      </c>
      <c r="B2" t="s">
        <v>31</v>
      </c>
      <c r="C2" t="s">
        <v>97</v>
      </c>
      <c r="D2" t="s">
        <v>174</v>
      </c>
    </row>
    <row r="3" spans="1:4" x14ac:dyDescent="0.3">
      <c r="A3">
        <v>101</v>
      </c>
      <c r="B3" t="s">
        <v>172</v>
      </c>
      <c r="C3">
        <v>1</v>
      </c>
      <c r="D3">
        <v>5.4</v>
      </c>
    </row>
    <row r="4" spans="1:4" x14ac:dyDescent="0.3">
      <c r="A4">
        <v>102</v>
      </c>
      <c r="B4" t="s">
        <v>167</v>
      </c>
      <c r="C4">
        <v>2</v>
      </c>
      <c r="D4">
        <v>18.3</v>
      </c>
    </row>
    <row r="5" spans="1:4" x14ac:dyDescent="0.3">
      <c r="A5">
        <v>103</v>
      </c>
      <c r="B5" t="s">
        <v>166</v>
      </c>
      <c r="C5">
        <v>4</v>
      </c>
      <c r="D5">
        <v>3.8</v>
      </c>
    </row>
    <row r="6" spans="1:4" x14ac:dyDescent="0.3">
      <c r="A6">
        <v>104</v>
      </c>
      <c r="B6" t="s">
        <v>165</v>
      </c>
      <c r="C6">
        <v>5</v>
      </c>
      <c r="D6">
        <v>8.5</v>
      </c>
    </row>
  </sheetData>
  <phoneticPr fontId="1"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30749-7749-46DC-8099-00501F5824A2}">
  <sheetPr codeName="Sheet17"/>
  <dimension ref="A1:E4"/>
  <sheetViews>
    <sheetView workbookViewId="0">
      <selection activeCell="D3" sqref="D3"/>
    </sheetView>
  </sheetViews>
  <sheetFormatPr defaultRowHeight="16.5" x14ac:dyDescent="0.3"/>
  <cols>
    <col min="3" max="3" width="15.875" bestFit="1" customWidth="1"/>
    <col min="5" max="5" width="24.625" bestFit="1" customWidth="1"/>
    <col min="6" max="6" width="35.125" bestFit="1" customWidth="1"/>
  </cols>
  <sheetData>
    <row r="1" spans="1:5" x14ac:dyDescent="0.3">
      <c r="A1" t="s">
        <v>30</v>
      </c>
      <c r="B1" t="s">
        <v>50</v>
      </c>
      <c r="C1" t="s">
        <v>91</v>
      </c>
      <c r="D1" t="s">
        <v>93</v>
      </c>
      <c r="E1" t="s">
        <v>98</v>
      </c>
    </row>
    <row r="2" spans="1:5" x14ac:dyDescent="0.3">
      <c r="A2" t="s">
        <v>18</v>
      </c>
      <c r="B2" t="s">
        <v>31</v>
      </c>
      <c r="C2" t="s">
        <v>92</v>
      </c>
      <c r="D2" t="s">
        <v>94</v>
      </c>
      <c r="E2" t="s">
        <v>99</v>
      </c>
    </row>
    <row r="3" spans="1:5" x14ac:dyDescent="0.3">
      <c r="A3">
        <v>201</v>
      </c>
      <c r="B3" t="s">
        <v>168</v>
      </c>
      <c r="C3">
        <v>2</v>
      </c>
      <c r="D3">
        <v>250</v>
      </c>
      <c r="E3">
        <v>1</v>
      </c>
    </row>
    <row r="4" spans="1:5" x14ac:dyDescent="0.3">
      <c r="A4">
        <v>202</v>
      </c>
      <c r="B4" t="s">
        <v>175</v>
      </c>
      <c r="C4">
        <v>4</v>
      </c>
      <c r="D4">
        <v>10</v>
      </c>
      <c r="E4">
        <v>3</v>
      </c>
    </row>
  </sheetData>
  <phoneticPr fontId="1"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2BB5-D625-40EC-8EAE-85894FA1E08F}">
  <dimension ref="A1:D6"/>
  <sheetViews>
    <sheetView workbookViewId="0">
      <selection activeCell="E24" sqref="E24"/>
    </sheetView>
  </sheetViews>
  <sheetFormatPr defaultRowHeight="16.5" x14ac:dyDescent="0.3"/>
  <cols>
    <col min="2" max="2" width="11.25" bestFit="1" customWidth="1"/>
    <col min="3" max="3" width="28.625" bestFit="1" customWidth="1"/>
    <col min="4" max="4" width="9" customWidth="1"/>
  </cols>
  <sheetData>
    <row r="1" spans="1:4" x14ac:dyDescent="0.3">
      <c r="A1" t="s">
        <v>30</v>
      </c>
      <c r="B1" t="s">
        <v>141</v>
      </c>
      <c r="C1" t="s">
        <v>140</v>
      </c>
      <c r="D1" t="s">
        <v>143</v>
      </c>
    </row>
    <row r="2" spans="1:4" x14ac:dyDescent="0.3">
      <c r="A2" t="s">
        <v>107</v>
      </c>
      <c r="B2" t="s">
        <v>142</v>
      </c>
      <c r="C2" t="s">
        <v>22</v>
      </c>
      <c r="D2" t="s">
        <v>144</v>
      </c>
    </row>
    <row r="3" spans="1:4" x14ac:dyDescent="0.3">
      <c r="A3">
        <v>1</v>
      </c>
      <c r="B3">
        <v>2</v>
      </c>
      <c r="C3" t="s">
        <v>146</v>
      </c>
      <c r="D3" t="s">
        <v>145</v>
      </c>
    </row>
    <row r="4" spans="1:4" x14ac:dyDescent="0.3">
      <c r="A4">
        <v>2</v>
      </c>
      <c r="B4">
        <v>3</v>
      </c>
      <c r="C4" t="s">
        <v>147</v>
      </c>
    </row>
    <row r="5" spans="1:4" x14ac:dyDescent="0.3">
      <c r="A5">
        <v>3</v>
      </c>
      <c r="B5">
        <v>0</v>
      </c>
    </row>
    <row r="6" spans="1:4" x14ac:dyDescent="0.3">
      <c r="A6">
        <v>4</v>
      </c>
      <c r="B6">
        <v>0</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D4CF7-E761-4F63-9392-279244975513}">
  <dimension ref="A1:D10"/>
  <sheetViews>
    <sheetView workbookViewId="0">
      <selection activeCell="G39" sqref="G39"/>
    </sheetView>
  </sheetViews>
  <sheetFormatPr defaultRowHeight="16.5" x14ac:dyDescent="0.3"/>
  <cols>
    <col min="2" max="2" width="13.75" bestFit="1" customWidth="1"/>
    <col min="3" max="3" width="8.5" customWidth="1"/>
    <col min="4" max="4" width="6.75" bestFit="1" customWidth="1"/>
  </cols>
  <sheetData>
    <row r="1" spans="1:4" x14ac:dyDescent="0.3">
      <c r="A1" t="s">
        <v>30</v>
      </c>
      <c r="B1" t="s">
        <v>148</v>
      </c>
      <c r="C1" t="s">
        <v>149</v>
      </c>
      <c r="D1" t="s">
        <v>150</v>
      </c>
    </row>
    <row r="2" spans="1:4" x14ac:dyDescent="0.3">
      <c r="A2" t="s">
        <v>107</v>
      </c>
      <c r="B2" t="s">
        <v>151</v>
      </c>
      <c r="C2" t="s">
        <v>152</v>
      </c>
      <c r="D2" t="s">
        <v>105</v>
      </c>
    </row>
    <row r="3" spans="1:4" x14ac:dyDescent="0.3">
      <c r="A3">
        <v>1</v>
      </c>
      <c r="B3">
        <v>1</v>
      </c>
      <c r="C3">
        <v>100</v>
      </c>
      <c r="D3">
        <v>1</v>
      </c>
    </row>
    <row r="4" spans="1:4" x14ac:dyDescent="0.3">
      <c r="A4">
        <v>2</v>
      </c>
      <c r="B4">
        <v>2</v>
      </c>
      <c r="C4">
        <v>100</v>
      </c>
      <c r="D4">
        <v>1</v>
      </c>
    </row>
    <row r="5" spans="1:4" x14ac:dyDescent="0.3">
      <c r="A5">
        <v>3</v>
      </c>
      <c r="B5">
        <v>101</v>
      </c>
      <c r="C5">
        <v>150</v>
      </c>
      <c r="D5">
        <v>1</v>
      </c>
    </row>
    <row r="6" spans="1:4" x14ac:dyDescent="0.3">
      <c r="A6">
        <v>4</v>
      </c>
      <c r="B6">
        <v>102</v>
      </c>
      <c r="C6">
        <v>150</v>
      </c>
      <c r="D6">
        <v>1</v>
      </c>
    </row>
    <row r="7" spans="1:4" x14ac:dyDescent="0.3">
      <c r="A7">
        <v>5</v>
      </c>
      <c r="B7">
        <v>103</v>
      </c>
      <c r="C7">
        <v>150</v>
      </c>
      <c r="D7">
        <v>1</v>
      </c>
    </row>
    <row r="8" spans="1:4" x14ac:dyDescent="0.3">
      <c r="A8">
        <v>6</v>
      </c>
      <c r="B8">
        <v>104</v>
      </c>
      <c r="C8">
        <v>150</v>
      </c>
      <c r="D8">
        <v>1</v>
      </c>
    </row>
    <row r="9" spans="1:4" x14ac:dyDescent="0.3">
      <c r="A9">
        <v>7</v>
      </c>
      <c r="B9">
        <v>201</v>
      </c>
      <c r="C9">
        <v>10</v>
      </c>
      <c r="D9">
        <v>5</v>
      </c>
    </row>
    <row r="10" spans="1:4" x14ac:dyDescent="0.3">
      <c r="A10">
        <v>8</v>
      </c>
      <c r="B10">
        <v>202</v>
      </c>
      <c r="C10">
        <v>20</v>
      </c>
      <c r="D10">
        <v>7</v>
      </c>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22"/>
  <sheetViews>
    <sheetView workbookViewId="0">
      <selection activeCell="F25" sqref="F25"/>
    </sheetView>
  </sheetViews>
  <sheetFormatPr defaultRowHeight="16.5" x14ac:dyDescent="0.3"/>
  <cols>
    <col min="1" max="1" width="23" bestFit="1" customWidth="1"/>
    <col min="3" max="3" width="9.625" bestFit="1" customWidth="1"/>
    <col min="4" max="4" width="19.375" bestFit="1" customWidth="1"/>
  </cols>
  <sheetData>
    <row r="1" spans="1:14" x14ac:dyDescent="0.3">
      <c r="A1" t="s">
        <v>84</v>
      </c>
      <c r="B1" t="s">
        <v>108</v>
      </c>
      <c r="C1" t="s">
        <v>109</v>
      </c>
      <c r="D1" t="s">
        <v>110</v>
      </c>
      <c r="F1" t="s">
        <v>111</v>
      </c>
    </row>
    <row r="2" spans="1:14" x14ac:dyDescent="0.3">
      <c r="A2" t="s">
        <v>95</v>
      </c>
      <c r="B2" t="s">
        <v>96</v>
      </c>
      <c r="C2" t="s">
        <v>112</v>
      </c>
      <c r="D2" t="s">
        <v>113</v>
      </c>
      <c r="F2" t="s">
        <v>114</v>
      </c>
    </row>
    <row r="3" spans="1:14" x14ac:dyDescent="0.3">
      <c r="A3" t="s">
        <v>115</v>
      </c>
      <c r="B3">
        <v>1</v>
      </c>
      <c r="C3">
        <v>0</v>
      </c>
      <c r="D3" t="str">
        <f>_xlfn.CONCAT(VLOOKUP(B3, $H$3:$I$4, 2), VLOOKUP(F3,$J$3:$K$7, 2), A3)</f>
        <v>Effect/Player/Player Move Walk</v>
      </c>
      <c r="F3">
        <v>4</v>
      </c>
      <c r="H3">
        <v>0</v>
      </c>
      <c r="I3" t="s">
        <v>116</v>
      </c>
      <c r="J3">
        <v>0</v>
      </c>
    </row>
    <row r="4" spans="1:14" x14ac:dyDescent="0.3">
      <c r="A4" t="s">
        <v>117</v>
      </c>
      <c r="B4">
        <v>1</v>
      </c>
      <c r="C4">
        <v>0</v>
      </c>
      <c r="D4" t="str">
        <f t="shared" ref="D4:D22" si="0">_xlfn.CONCAT(VLOOKUP(B4, $H$3:$I$4, 2), VLOOKUP(F4,$J$3:$K$7, 2), A4)</f>
        <v>Effect/Player/Player Move Run</v>
      </c>
      <c r="F4">
        <v>4</v>
      </c>
      <c r="H4">
        <v>1</v>
      </c>
      <c r="I4" t="s">
        <v>118</v>
      </c>
      <c r="J4">
        <v>1</v>
      </c>
      <c r="K4" t="s">
        <v>119</v>
      </c>
    </row>
    <row r="5" spans="1:14" x14ac:dyDescent="0.3">
      <c r="A5" t="s">
        <v>79</v>
      </c>
      <c r="B5">
        <v>1</v>
      </c>
      <c r="C5">
        <v>0</v>
      </c>
      <c r="D5" t="str">
        <f t="shared" si="0"/>
        <v>Effect/Player/sword and shield slash1</v>
      </c>
      <c r="F5">
        <v>4</v>
      </c>
      <c r="J5">
        <v>2</v>
      </c>
      <c r="K5" t="s">
        <v>120</v>
      </c>
    </row>
    <row r="6" spans="1:14" x14ac:dyDescent="0.3">
      <c r="A6" t="s">
        <v>134</v>
      </c>
      <c r="B6">
        <v>1</v>
      </c>
      <c r="C6">
        <v>0</v>
      </c>
      <c r="D6" t="str">
        <f t="shared" si="0"/>
        <v>Effect/Player/sword and shield slash2</v>
      </c>
      <c r="F6">
        <v>4</v>
      </c>
      <c r="J6">
        <v>3</v>
      </c>
      <c r="K6" t="s">
        <v>121</v>
      </c>
    </row>
    <row r="7" spans="1:14" x14ac:dyDescent="0.3">
      <c r="A7" t="s">
        <v>135</v>
      </c>
      <c r="B7">
        <v>1</v>
      </c>
      <c r="C7">
        <v>0</v>
      </c>
      <c r="D7" t="str">
        <f t="shared" si="0"/>
        <v>Effect/Player/sword and shield slash3</v>
      </c>
      <c r="F7">
        <v>4</v>
      </c>
      <c r="J7">
        <v>4</v>
      </c>
      <c r="K7" t="s">
        <v>122</v>
      </c>
    </row>
    <row r="8" spans="1:14" x14ac:dyDescent="0.3">
      <c r="A8" t="s">
        <v>137</v>
      </c>
      <c r="B8">
        <v>1</v>
      </c>
      <c r="C8">
        <v>1</v>
      </c>
      <c r="D8" t="str">
        <f t="shared" si="0"/>
        <v>Effect/Monster/SkeletonShieldWarrior Idle</v>
      </c>
      <c r="F8">
        <v>3</v>
      </c>
    </row>
    <row r="9" spans="1:14" x14ac:dyDescent="0.3">
      <c r="A9" t="s">
        <v>123</v>
      </c>
      <c r="B9">
        <v>1</v>
      </c>
      <c r="C9">
        <v>0</v>
      </c>
      <c r="D9" t="str">
        <f t="shared" si="0"/>
        <v>Effect/Monster/Skeleton Walk</v>
      </c>
      <c r="F9">
        <v>3</v>
      </c>
    </row>
    <row r="10" spans="1:14" x14ac:dyDescent="0.3">
      <c r="A10" t="s">
        <v>124</v>
      </c>
      <c r="B10">
        <v>1</v>
      </c>
      <c r="C10">
        <v>0</v>
      </c>
      <c r="D10" t="str">
        <f t="shared" si="0"/>
        <v>Effect/Monster/Skeleton Run</v>
      </c>
      <c r="F10">
        <v>3</v>
      </c>
    </row>
    <row r="11" spans="1:14" x14ac:dyDescent="0.3">
      <c r="A11" t="s">
        <v>138</v>
      </c>
      <c r="B11">
        <v>1</v>
      </c>
      <c r="C11">
        <v>0</v>
      </c>
      <c r="D11" t="str">
        <f t="shared" si="0"/>
        <v>Effect/Monster/SkeletonShieldWarrior Dead</v>
      </c>
      <c r="F11">
        <v>3</v>
      </c>
    </row>
    <row r="12" spans="1:14" x14ac:dyDescent="0.3">
      <c r="A12" t="s">
        <v>136</v>
      </c>
      <c r="B12">
        <v>1</v>
      </c>
      <c r="C12">
        <v>0</v>
      </c>
      <c r="D12" t="str">
        <f t="shared" ref="D12" si="1">_xlfn.CONCAT(VLOOKUP(B12, $H$3:$I$4, 2), VLOOKUP(F12,$J$3:$K$7, 2), A12)</f>
        <v>Effect/Monster/Skeleton Warior Attack 1</v>
      </c>
      <c r="F12">
        <v>3</v>
      </c>
    </row>
    <row r="13" spans="1:14" x14ac:dyDescent="0.3">
      <c r="A13" t="s">
        <v>139</v>
      </c>
      <c r="B13">
        <v>1</v>
      </c>
      <c r="C13">
        <v>0</v>
      </c>
      <c r="D13" t="str">
        <f t="shared" si="0"/>
        <v>Effect/Monster/Skeleton Warior Attack 2</v>
      </c>
      <c r="F13">
        <v>3</v>
      </c>
    </row>
    <row r="14" spans="1:14" x14ac:dyDescent="0.3">
      <c r="A14" t="s">
        <v>125</v>
      </c>
      <c r="B14">
        <v>1</v>
      </c>
      <c r="C14">
        <v>0</v>
      </c>
      <c r="D14" t="str">
        <f t="shared" si="0"/>
        <v>Effect/Player/Drink Potion</v>
      </c>
      <c r="F14">
        <v>4</v>
      </c>
    </row>
    <row r="15" spans="1:14" x14ac:dyDescent="0.3">
      <c r="A15" t="s">
        <v>126</v>
      </c>
      <c r="B15">
        <v>1</v>
      </c>
      <c r="C15">
        <v>0</v>
      </c>
      <c r="D15" t="str">
        <f t="shared" si="0"/>
        <v>Effect/Player/Input Sword</v>
      </c>
      <c r="F15">
        <v>4</v>
      </c>
    </row>
    <row r="16" spans="1:14" x14ac:dyDescent="0.3">
      <c r="A16" t="s">
        <v>127</v>
      </c>
      <c r="B16">
        <v>1</v>
      </c>
      <c r="C16">
        <v>0</v>
      </c>
      <c r="D16" t="str">
        <f t="shared" si="0"/>
        <v>Effect/Player/Output Sword</v>
      </c>
      <c r="F16">
        <v>4</v>
      </c>
    </row>
    <row r="17" spans="1:6" x14ac:dyDescent="0.3">
      <c r="A17" t="s">
        <v>128</v>
      </c>
      <c r="B17">
        <v>1</v>
      </c>
      <c r="C17">
        <v>0</v>
      </c>
      <c r="D17" t="str">
        <f t="shared" si="0"/>
        <v>Effect/Monster/Skeleton Hit</v>
      </c>
      <c r="F17">
        <v>3</v>
      </c>
    </row>
    <row r="18" spans="1:6" x14ac:dyDescent="0.3">
      <c r="A18" t="s">
        <v>129</v>
      </c>
      <c r="B18">
        <v>1</v>
      </c>
      <c r="C18">
        <v>0</v>
      </c>
      <c r="D18" t="str">
        <f t="shared" si="0"/>
        <v>Effect/Player/UI On Off Sound</v>
      </c>
      <c r="F18">
        <v>4</v>
      </c>
    </row>
    <row r="19" spans="1:6" x14ac:dyDescent="0.3">
      <c r="A19" t="s">
        <v>130</v>
      </c>
      <c r="B19">
        <v>1</v>
      </c>
      <c r="C19">
        <v>0</v>
      </c>
      <c r="D19" t="str">
        <f t="shared" si="0"/>
        <v>Effect/Player/Secret Open Door</v>
      </c>
      <c r="F19">
        <v>4</v>
      </c>
    </row>
    <row r="20" spans="1:6" x14ac:dyDescent="0.3">
      <c r="A20" t="s">
        <v>131</v>
      </c>
      <c r="B20">
        <v>1</v>
      </c>
      <c r="C20">
        <v>0</v>
      </c>
      <c r="D20" t="str">
        <f t="shared" si="0"/>
        <v>Effect/Player/Item Drop</v>
      </c>
      <c r="F20">
        <v>4</v>
      </c>
    </row>
    <row r="21" spans="1:6" x14ac:dyDescent="0.3">
      <c r="A21" t="s">
        <v>132</v>
      </c>
      <c r="B21">
        <v>1</v>
      </c>
      <c r="C21">
        <v>0</v>
      </c>
      <c r="D21" t="str">
        <f t="shared" si="0"/>
        <v>Effect/Player/Player Dead</v>
      </c>
      <c r="F21">
        <v>4</v>
      </c>
    </row>
    <row r="22" spans="1:6" x14ac:dyDescent="0.3">
      <c r="A22" t="s">
        <v>133</v>
      </c>
      <c r="B22">
        <v>1</v>
      </c>
      <c r="C22">
        <v>0</v>
      </c>
      <c r="D22" t="str">
        <f t="shared" si="0"/>
        <v>Effect/Player/Player Hit</v>
      </c>
      <c r="F22">
        <v>4</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20</vt:i4>
      </vt:variant>
    </vt:vector>
  </HeadingPairs>
  <TitlesOfParts>
    <vt:vector size="20" baseType="lpstr">
      <vt:lpstr>StartClassStat</vt:lpstr>
      <vt:lpstr>ToolItem</vt:lpstr>
      <vt:lpstr>Camera_Shake</vt:lpstr>
      <vt:lpstr>Camera_Zoom</vt:lpstr>
      <vt:lpstr>Loading</vt:lpstr>
      <vt:lpstr>Lan</vt:lpstr>
      <vt:lpstr>Monster</vt:lpstr>
      <vt:lpstr>Stat</vt:lpstr>
      <vt:lpstr>Reward</vt:lpstr>
      <vt:lpstr>Boss</vt:lpstr>
      <vt:lpstr>Attack</vt:lpstr>
      <vt:lpstr>Buff</vt:lpstr>
      <vt:lpstr>AI</vt:lpstr>
      <vt:lpstr>Weapon</vt:lpstr>
      <vt:lpstr>Shield</vt:lpstr>
      <vt:lpstr>Armor</vt:lpstr>
      <vt:lpstr>Consumable</vt:lpstr>
      <vt:lpstr>Dialogue</vt:lpstr>
      <vt:lpstr>Shop</vt:lpstr>
      <vt:lpstr>Sound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태섭 이</cp:lastModifiedBy>
  <cp:lastPrinted>2022-09-03T05:15:19Z</cp:lastPrinted>
  <dcterms:created xsi:type="dcterms:W3CDTF">2022-09-03T03:10:22Z</dcterms:created>
  <dcterms:modified xsi:type="dcterms:W3CDTF">2023-10-12T17:05:27Z</dcterms:modified>
</cp:coreProperties>
</file>